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listenitcyrix-my.sharepoint.com/personal/jeevan_pious_cyrix_in/Documents/Sales/Salesforce Develpoment/To Salesforce Team/"/>
    </mc:Choice>
  </mc:AlternateContent>
  <xr:revisionPtr revIDLastSave="372" documentId="11_F25DC773A252ABDACC1048D6A9DE66A05BDE58EF" xr6:coauthVersionLast="47" xr6:coauthVersionMax="47" xr10:uidLastSave="{28D77E71-97D4-4157-B4A6-D3D0BA5B1476}"/>
  <bookViews>
    <workbookView xWindow="-108" yWindow="-108" windowWidth="23256" windowHeight="12456" xr2:uid="{00000000-000D-0000-FFFF-FFFF00000000}"/>
  </bookViews>
  <sheets>
    <sheet name="Customer Price Book Master" sheetId="1" r:id="rId1"/>
    <sheet name="Dealer Price Book Master" sheetId="2" r:id="rId2"/>
  </sheets>
  <definedNames>
    <definedName name="_xlnm._FilterDatabase" localSheetId="0" hidden="1">'Customer Price Book Master'!$A$1:$N$143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" l="1"/>
  <c r="AG8" i="1"/>
  <c r="AG7" i="1"/>
  <c r="AG6" i="1"/>
  <c r="AG5" i="1"/>
  <c r="AE9" i="1"/>
  <c r="AE8" i="1"/>
  <c r="AE7" i="1"/>
  <c r="AE6" i="1"/>
  <c r="AE5" i="1"/>
  <c r="AC9" i="1"/>
  <c r="AC8" i="1"/>
  <c r="AC7" i="1"/>
  <c r="AC6" i="1"/>
  <c r="AC5" i="1"/>
  <c r="AA9" i="1"/>
  <c r="AA8" i="1"/>
  <c r="AA7" i="1"/>
  <c r="AA6" i="1"/>
  <c r="AA5" i="1"/>
  <c r="W9" i="1"/>
  <c r="W8" i="1"/>
  <c r="W7" i="1"/>
  <c r="W6" i="1"/>
  <c r="W5" i="1"/>
  <c r="Y9" i="1"/>
  <c r="Y8" i="1"/>
  <c r="Y7" i="1"/>
  <c r="Y6" i="1"/>
  <c r="Y5" i="1"/>
  <c r="U6" i="1"/>
  <c r="U7" i="1"/>
  <c r="U8" i="1"/>
  <c r="U9" i="1"/>
  <c r="U5" i="1"/>
  <c r="S6" i="1"/>
  <c r="S7" i="1"/>
  <c r="S8" i="1"/>
  <c r="S9" i="1"/>
  <c r="S5" i="1"/>
  <c r="Y3" i="1"/>
  <c r="AA3" i="1"/>
  <c r="Y4" i="1"/>
  <c r="AA4" i="1"/>
  <c r="AA2" i="1"/>
  <c r="Y2" i="1"/>
  <c r="H16" i="1" l="1"/>
  <c r="H17" i="1"/>
  <c r="J17" i="1"/>
  <c r="K17" i="1" s="1"/>
  <c r="J16" i="1"/>
  <c r="K16" i="1" s="1"/>
  <c r="M16" i="1" l="1"/>
  <c r="N16" i="1" s="1"/>
  <c r="M17" i="1"/>
  <c r="N17" i="1" s="1"/>
  <c r="P17" i="1" l="1"/>
  <c r="Q17" i="1" s="1"/>
  <c r="P16" i="1"/>
  <c r="Q16" i="1" s="1"/>
  <c r="J5" i="1"/>
  <c r="M5" i="1" s="1"/>
  <c r="J6" i="1"/>
  <c r="M6" i="1" s="1"/>
  <c r="J7" i="1"/>
  <c r="M7" i="1" s="1"/>
  <c r="J8" i="1"/>
  <c r="K8" i="1" s="1"/>
  <c r="J9" i="1"/>
  <c r="K9" i="1" s="1"/>
  <c r="J10" i="1"/>
  <c r="K10" i="1" s="1"/>
  <c r="J11" i="1"/>
  <c r="M11" i="1" s="1"/>
  <c r="J12" i="1"/>
  <c r="M12" i="1" s="1"/>
  <c r="J13" i="1"/>
  <c r="M13" i="1" s="1"/>
  <c r="J14" i="1"/>
  <c r="M14" i="1" s="1"/>
  <c r="J15" i="1"/>
  <c r="K15" i="1" s="1"/>
  <c r="H5" i="1"/>
  <c r="H6" i="1"/>
  <c r="H7" i="1"/>
  <c r="H8" i="1"/>
  <c r="H9" i="1"/>
  <c r="H10" i="1"/>
  <c r="H11" i="1"/>
  <c r="H12" i="1"/>
  <c r="H13" i="1"/>
  <c r="H14" i="1"/>
  <c r="H15" i="1"/>
  <c r="J2" i="1"/>
  <c r="M2" i="1" s="1"/>
  <c r="J3" i="1"/>
  <c r="M3" i="1" s="1"/>
  <c r="J4" i="1"/>
  <c r="K4" i="1" s="1"/>
  <c r="H3" i="1"/>
  <c r="H4" i="1"/>
  <c r="H2" i="1"/>
  <c r="J19" i="1"/>
  <c r="K19" i="1" s="1"/>
  <c r="J20" i="1"/>
  <c r="M20" i="1" s="1"/>
  <c r="N20" i="1" s="1"/>
  <c r="J21" i="1"/>
  <c r="K21" i="1" s="1"/>
  <c r="J22" i="1"/>
  <c r="M22" i="1" s="1"/>
  <c r="N22" i="1" s="1"/>
  <c r="J23" i="1"/>
  <c r="K23" i="1" s="1"/>
  <c r="J24" i="1"/>
  <c r="M24" i="1" s="1"/>
  <c r="N24" i="1" s="1"/>
  <c r="J25" i="1"/>
  <c r="M25" i="1" s="1"/>
  <c r="N25" i="1" s="1"/>
  <c r="J26" i="1"/>
  <c r="K26" i="1" s="1"/>
  <c r="J27" i="1"/>
  <c r="K27" i="1" s="1"/>
  <c r="J28" i="1"/>
  <c r="M28" i="1" s="1"/>
  <c r="N28" i="1" s="1"/>
  <c r="J29" i="1"/>
  <c r="M29" i="1" s="1"/>
  <c r="N29" i="1" s="1"/>
  <c r="J30" i="1"/>
  <c r="M30" i="1" s="1"/>
  <c r="N30" i="1" s="1"/>
  <c r="J31" i="1"/>
  <c r="K31" i="1" s="1"/>
  <c r="J32" i="1"/>
  <c r="M32" i="1" s="1"/>
  <c r="N32" i="1" s="1"/>
  <c r="J33" i="1"/>
  <c r="M33" i="1" s="1"/>
  <c r="N33" i="1" s="1"/>
  <c r="J34" i="1"/>
  <c r="K34" i="1" s="1"/>
  <c r="J35" i="1"/>
  <c r="M35" i="1" s="1"/>
  <c r="N35" i="1" s="1"/>
  <c r="J36" i="1"/>
  <c r="M36" i="1" s="1"/>
  <c r="N36" i="1" s="1"/>
  <c r="J37" i="1"/>
  <c r="K37" i="1" s="1"/>
  <c r="J38" i="1"/>
  <c r="M38" i="1" s="1"/>
  <c r="N38" i="1" s="1"/>
  <c r="J39" i="1"/>
  <c r="K39" i="1" s="1"/>
  <c r="J40" i="1"/>
  <c r="M40" i="1" s="1"/>
  <c r="N40" i="1" s="1"/>
  <c r="J41" i="1"/>
  <c r="M41" i="1" s="1"/>
  <c r="N41" i="1" s="1"/>
  <c r="J42" i="1"/>
  <c r="K42" i="1" s="1"/>
  <c r="J43" i="1"/>
  <c r="K43" i="1" s="1"/>
  <c r="J44" i="1"/>
  <c r="M44" i="1" s="1"/>
  <c r="N44" i="1" s="1"/>
  <c r="J45" i="1"/>
  <c r="K45" i="1" s="1"/>
  <c r="J46" i="1"/>
  <c r="M46" i="1" s="1"/>
  <c r="N46" i="1" s="1"/>
  <c r="J47" i="1"/>
  <c r="K47" i="1" s="1"/>
  <c r="J48" i="1"/>
  <c r="M48" i="1" s="1"/>
  <c r="N48" i="1" s="1"/>
  <c r="J49" i="1"/>
  <c r="M49" i="1" s="1"/>
  <c r="N49" i="1" s="1"/>
  <c r="J50" i="1"/>
  <c r="K50" i="1" s="1"/>
  <c r="J51" i="1"/>
  <c r="K51" i="1" s="1"/>
  <c r="J52" i="1"/>
  <c r="M52" i="1" s="1"/>
  <c r="N52" i="1" s="1"/>
  <c r="J53" i="1"/>
  <c r="K53" i="1" s="1"/>
  <c r="J54" i="1"/>
  <c r="M54" i="1" s="1"/>
  <c r="N54" i="1" s="1"/>
  <c r="J55" i="1"/>
  <c r="K55" i="1" s="1"/>
  <c r="J56" i="1"/>
  <c r="M56" i="1" s="1"/>
  <c r="N56" i="1" s="1"/>
  <c r="J57" i="1"/>
  <c r="M57" i="1" s="1"/>
  <c r="N57" i="1" s="1"/>
  <c r="J58" i="1"/>
  <c r="K58" i="1" s="1"/>
  <c r="J59" i="1"/>
  <c r="K59" i="1" s="1"/>
  <c r="J60" i="1"/>
  <c r="M60" i="1" s="1"/>
  <c r="N60" i="1" s="1"/>
  <c r="J61" i="1"/>
  <c r="M61" i="1" s="1"/>
  <c r="N61" i="1" s="1"/>
  <c r="J62" i="1"/>
  <c r="M62" i="1" s="1"/>
  <c r="N62" i="1" s="1"/>
  <c r="J63" i="1"/>
  <c r="K63" i="1" s="1"/>
  <c r="J64" i="1"/>
  <c r="M64" i="1" s="1"/>
  <c r="N64" i="1" s="1"/>
  <c r="J65" i="1"/>
  <c r="M65" i="1" s="1"/>
  <c r="N65" i="1" s="1"/>
  <c r="J66" i="1"/>
  <c r="K66" i="1" s="1"/>
  <c r="J67" i="1"/>
  <c r="M67" i="1" s="1"/>
  <c r="N67" i="1" s="1"/>
  <c r="J68" i="1"/>
  <c r="M68" i="1" s="1"/>
  <c r="N68" i="1" s="1"/>
  <c r="J69" i="1"/>
  <c r="K69" i="1" s="1"/>
  <c r="J70" i="1"/>
  <c r="M70" i="1" s="1"/>
  <c r="N70" i="1" s="1"/>
  <c r="J71" i="1"/>
  <c r="K71" i="1" s="1"/>
  <c r="J72" i="1"/>
  <c r="M72" i="1" s="1"/>
  <c r="N72" i="1" s="1"/>
  <c r="J73" i="1"/>
  <c r="M73" i="1" s="1"/>
  <c r="N73" i="1" s="1"/>
  <c r="J74" i="1"/>
  <c r="K74" i="1" s="1"/>
  <c r="J75" i="1"/>
  <c r="K75" i="1" s="1"/>
  <c r="J76" i="1"/>
  <c r="M76" i="1" s="1"/>
  <c r="N76" i="1" s="1"/>
  <c r="J77" i="1"/>
  <c r="K77" i="1" s="1"/>
  <c r="J78" i="1"/>
  <c r="M78" i="1" s="1"/>
  <c r="N78" i="1" s="1"/>
  <c r="J79" i="1"/>
  <c r="K79" i="1" s="1"/>
  <c r="J80" i="1"/>
  <c r="M80" i="1" s="1"/>
  <c r="N80" i="1" s="1"/>
  <c r="J81" i="1"/>
  <c r="M81" i="1" s="1"/>
  <c r="N81" i="1" s="1"/>
  <c r="J82" i="1"/>
  <c r="K82" i="1" s="1"/>
  <c r="J83" i="1"/>
  <c r="K83" i="1" s="1"/>
  <c r="J84" i="1"/>
  <c r="M84" i="1" s="1"/>
  <c r="N84" i="1" s="1"/>
  <c r="J85" i="1"/>
  <c r="M85" i="1" s="1"/>
  <c r="N85" i="1" s="1"/>
  <c r="J86" i="1"/>
  <c r="M86" i="1" s="1"/>
  <c r="N86" i="1" s="1"/>
  <c r="J87" i="1"/>
  <c r="K87" i="1" s="1"/>
  <c r="J88" i="1"/>
  <c r="M88" i="1" s="1"/>
  <c r="N88" i="1" s="1"/>
  <c r="J89" i="1"/>
  <c r="M89" i="1" s="1"/>
  <c r="N89" i="1" s="1"/>
  <c r="J90" i="1"/>
  <c r="K90" i="1" s="1"/>
  <c r="J91" i="1"/>
  <c r="M91" i="1" s="1"/>
  <c r="N91" i="1" s="1"/>
  <c r="J92" i="1"/>
  <c r="M92" i="1" s="1"/>
  <c r="N92" i="1" s="1"/>
  <c r="J93" i="1"/>
  <c r="M93" i="1" s="1"/>
  <c r="N93" i="1" s="1"/>
  <c r="J94" i="1"/>
  <c r="M94" i="1" s="1"/>
  <c r="N94" i="1" s="1"/>
  <c r="J95" i="1"/>
  <c r="K95" i="1" s="1"/>
  <c r="J96" i="1"/>
  <c r="M96" i="1" s="1"/>
  <c r="N96" i="1" s="1"/>
  <c r="J97" i="1"/>
  <c r="M97" i="1" s="1"/>
  <c r="N97" i="1" s="1"/>
  <c r="J98" i="1"/>
  <c r="K98" i="1" s="1"/>
  <c r="J99" i="1"/>
  <c r="K99" i="1" s="1"/>
  <c r="J100" i="1"/>
  <c r="M100" i="1" s="1"/>
  <c r="N100" i="1" s="1"/>
  <c r="J101" i="1"/>
  <c r="K101" i="1" s="1"/>
  <c r="J102" i="1"/>
  <c r="M102" i="1" s="1"/>
  <c r="N102" i="1" s="1"/>
  <c r="J103" i="1"/>
  <c r="K103" i="1" s="1"/>
  <c r="J104" i="1"/>
  <c r="M104" i="1" s="1"/>
  <c r="N104" i="1" s="1"/>
  <c r="J105" i="1"/>
  <c r="M105" i="1" s="1"/>
  <c r="N105" i="1" s="1"/>
  <c r="J106" i="1"/>
  <c r="K106" i="1" s="1"/>
  <c r="J107" i="1"/>
  <c r="K107" i="1" s="1"/>
  <c r="J108" i="1"/>
  <c r="M108" i="1" s="1"/>
  <c r="N108" i="1" s="1"/>
  <c r="J109" i="1"/>
  <c r="K109" i="1" s="1"/>
  <c r="J110" i="1"/>
  <c r="M110" i="1" s="1"/>
  <c r="N110" i="1" s="1"/>
  <c r="J111" i="1"/>
  <c r="K111" i="1" s="1"/>
  <c r="J112" i="1"/>
  <c r="M112" i="1" s="1"/>
  <c r="N112" i="1" s="1"/>
  <c r="J113" i="1"/>
  <c r="M113" i="1" s="1"/>
  <c r="N113" i="1" s="1"/>
  <c r="J114" i="1"/>
  <c r="K114" i="1" s="1"/>
  <c r="J115" i="1"/>
  <c r="M115" i="1" s="1"/>
  <c r="N115" i="1" s="1"/>
  <c r="J116" i="1"/>
  <c r="M116" i="1" s="1"/>
  <c r="N116" i="1" s="1"/>
  <c r="J117" i="1"/>
  <c r="K117" i="1" s="1"/>
  <c r="J118" i="1"/>
  <c r="M118" i="1" s="1"/>
  <c r="N118" i="1" s="1"/>
  <c r="J119" i="1"/>
  <c r="K119" i="1" s="1"/>
  <c r="J120" i="1"/>
  <c r="M120" i="1" s="1"/>
  <c r="N120" i="1" s="1"/>
  <c r="J121" i="1"/>
  <c r="M121" i="1" s="1"/>
  <c r="N121" i="1" s="1"/>
  <c r="J122" i="1"/>
  <c r="K122" i="1" s="1"/>
  <c r="J123" i="1"/>
  <c r="K123" i="1" s="1"/>
  <c r="J124" i="1"/>
  <c r="M124" i="1" s="1"/>
  <c r="N124" i="1" s="1"/>
  <c r="J125" i="1"/>
  <c r="M125" i="1" s="1"/>
  <c r="N125" i="1" s="1"/>
  <c r="J126" i="1"/>
  <c r="M126" i="1" s="1"/>
  <c r="N126" i="1" s="1"/>
  <c r="J127" i="1"/>
  <c r="K127" i="1" s="1"/>
  <c r="J128" i="1"/>
  <c r="M128" i="1" s="1"/>
  <c r="N128" i="1" s="1"/>
  <c r="J129" i="1"/>
  <c r="M129" i="1" s="1"/>
  <c r="N129" i="1" s="1"/>
  <c r="J130" i="1"/>
  <c r="K130" i="1" s="1"/>
  <c r="J131" i="1"/>
  <c r="K131" i="1" s="1"/>
  <c r="J132" i="1"/>
  <c r="M132" i="1" s="1"/>
  <c r="N132" i="1" s="1"/>
  <c r="J133" i="1"/>
  <c r="K133" i="1" s="1"/>
  <c r="J134" i="1"/>
  <c r="M134" i="1" s="1"/>
  <c r="N134" i="1" s="1"/>
  <c r="J135" i="1"/>
  <c r="K135" i="1" s="1"/>
  <c r="J136" i="1"/>
  <c r="M136" i="1" s="1"/>
  <c r="N136" i="1" s="1"/>
  <c r="J137" i="1"/>
  <c r="M137" i="1" s="1"/>
  <c r="N137" i="1" s="1"/>
  <c r="J138" i="1"/>
  <c r="K138" i="1" s="1"/>
  <c r="J139" i="1"/>
  <c r="M139" i="1" s="1"/>
  <c r="N139" i="1" s="1"/>
  <c r="J140" i="1"/>
  <c r="M140" i="1" s="1"/>
  <c r="N140" i="1" s="1"/>
  <c r="J141" i="1"/>
  <c r="K141" i="1" s="1"/>
  <c r="J142" i="1"/>
  <c r="M142" i="1" s="1"/>
  <c r="N142" i="1" s="1"/>
  <c r="J143" i="1"/>
  <c r="K143" i="1" s="1"/>
  <c r="J18" i="1"/>
  <c r="M18" i="1" s="1"/>
  <c r="N18" i="1" s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8" i="1"/>
  <c r="N3" i="1" l="1"/>
  <c r="P3" i="1"/>
  <c r="Q3" i="1" s="1"/>
  <c r="N2" i="1"/>
  <c r="P2" i="1"/>
  <c r="Q2" i="1" s="1"/>
  <c r="N12" i="1"/>
  <c r="P12" i="1"/>
  <c r="Q12" i="1" s="1"/>
  <c r="N7" i="1"/>
  <c r="P7" i="1"/>
  <c r="Q7" i="1" s="1"/>
  <c r="N11" i="1"/>
  <c r="P11" i="1"/>
  <c r="Q11" i="1" s="1"/>
  <c r="N14" i="1"/>
  <c r="P14" i="1"/>
  <c r="Q14" i="1" s="1"/>
  <c r="N6" i="1"/>
  <c r="P6" i="1"/>
  <c r="Q6" i="1" s="1"/>
  <c r="N13" i="1"/>
  <c r="P13" i="1"/>
  <c r="Q13" i="1" s="1"/>
  <c r="N5" i="1"/>
  <c r="P5" i="1"/>
  <c r="Q5" i="1" s="1"/>
  <c r="K14" i="1"/>
  <c r="K7" i="1"/>
  <c r="K6" i="1"/>
  <c r="M15" i="1"/>
  <c r="M10" i="1"/>
  <c r="M9" i="1"/>
  <c r="K13" i="1"/>
  <c r="K5" i="1"/>
  <c r="M8" i="1"/>
  <c r="K12" i="1"/>
  <c r="K11" i="1"/>
  <c r="K2" i="1"/>
  <c r="M4" i="1"/>
  <c r="K3" i="1"/>
  <c r="K113" i="1"/>
  <c r="K97" i="1"/>
  <c r="K96" i="1"/>
  <c r="K49" i="1"/>
  <c r="K33" i="1"/>
  <c r="K32" i="1"/>
  <c r="M109" i="1"/>
  <c r="N109" i="1" s="1"/>
  <c r="K112" i="1"/>
  <c r="K48" i="1"/>
  <c r="M79" i="1"/>
  <c r="N79" i="1" s="1"/>
  <c r="M53" i="1"/>
  <c r="N53" i="1" s="1"/>
  <c r="K81" i="1"/>
  <c r="M143" i="1"/>
  <c r="N143" i="1" s="1"/>
  <c r="M47" i="1"/>
  <c r="N47" i="1" s="1"/>
  <c r="K18" i="1"/>
  <c r="K80" i="1"/>
  <c r="M141" i="1"/>
  <c r="N141" i="1" s="1"/>
  <c r="M45" i="1"/>
  <c r="N45" i="1" s="1"/>
  <c r="K129" i="1"/>
  <c r="K65" i="1"/>
  <c r="M117" i="1"/>
  <c r="N117" i="1" s="1"/>
  <c r="M23" i="1"/>
  <c r="N23" i="1" s="1"/>
  <c r="M77" i="1"/>
  <c r="N77" i="1" s="1"/>
  <c r="K128" i="1"/>
  <c r="K64" i="1"/>
  <c r="M111" i="1"/>
  <c r="N111" i="1" s="1"/>
  <c r="M21" i="1"/>
  <c r="N21" i="1" s="1"/>
  <c r="K125" i="1"/>
  <c r="K93" i="1"/>
  <c r="K61" i="1"/>
  <c r="K29" i="1"/>
  <c r="M135" i="1"/>
  <c r="N135" i="1" s="1"/>
  <c r="M103" i="1"/>
  <c r="N103" i="1" s="1"/>
  <c r="M71" i="1"/>
  <c r="N71" i="1" s="1"/>
  <c r="M39" i="1"/>
  <c r="N39" i="1" s="1"/>
  <c r="K140" i="1"/>
  <c r="K124" i="1"/>
  <c r="K108" i="1"/>
  <c r="K92" i="1"/>
  <c r="K76" i="1"/>
  <c r="K60" i="1"/>
  <c r="K44" i="1"/>
  <c r="K28" i="1"/>
  <c r="M133" i="1"/>
  <c r="N133" i="1" s="1"/>
  <c r="M101" i="1"/>
  <c r="N101" i="1" s="1"/>
  <c r="M69" i="1"/>
  <c r="N69" i="1" s="1"/>
  <c r="M37" i="1"/>
  <c r="N37" i="1" s="1"/>
  <c r="K137" i="1"/>
  <c r="K121" i="1"/>
  <c r="K105" i="1"/>
  <c r="K89" i="1"/>
  <c r="K73" i="1"/>
  <c r="K57" i="1"/>
  <c r="K41" i="1"/>
  <c r="K25" i="1"/>
  <c r="M127" i="1"/>
  <c r="N127" i="1" s="1"/>
  <c r="M95" i="1"/>
  <c r="N95" i="1" s="1"/>
  <c r="M63" i="1"/>
  <c r="N63" i="1" s="1"/>
  <c r="M31" i="1"/>
  <c r="N31" i="1" s="1"/>
  <c r="K136" i="1"/>
  <c r="K120" i="1"/>
  <c r="K104" i="1"/>
  <c r="K88" i="1"/>
  <c r="K72" i="1"/>
  <c r="K56" i="1"/>
  <c r="K40" i="1"/>
  <c r="K24" i="1"/>
  <c r="K85" i="1"/>
  <c r="M119" i="1"/>
  <c r="N119" i="1" s="1"/>
  <c r="M87" i="1"/>
  <c r="N87" i="1" s="1"/>
  <c r="M55" i="1"/>
  <c r="N55" i="1" s="1"/>
  <c r="K132" i="1"/>
  <c r="K116" i="1"/>
  <c r="K100" i="1"/>
  <c r="K84" i="1"/>
  <c r="K68" i="1"/>
  <c r="K52" i="1"/>
  <c r="K36" i="1"/>
  <c r="K2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M123" i="1"/>
  <c r="N123" i="1" s="1"/>
  <c r="M99" i="1"/>
  <c r="N99" i="1" s="1"/>
  <c r="M75" i="1"/>
  <c r="N75" i="1" s="1"/>
  <c r="M51" i="1"/>
  <c r="N51" i="1" s="1"/>
  <c r="M27" i="1"/>
  <c r="N27" i="1" s="1"/>
  <c r="M122" i="1"/>
  <c r="N122" i="1" s="1"/>
  <c r="M106" i="1"/>
  <c r="N106" i="1" s="1"/>
  <c r="M82" i="1"/>
  <c r="N82" i="1" s="1"/>
  <c r="M66" i="1"/>
  <c r="N66" i="1" s="1"/>
  <c r="M50" i="1"/>
  <c r="N50" i="1" s="1"/>
  <c r="M42" i="1"/>
  <c r="N42" i="1" s="1"/>
  <c r="M26" i="1"/>
  <c r="N26" i="1" s="1"/>
  <c r="M131" i="1"/>
  <c r="N131" i="1" s="1"/>
  <c r="M107" i="1"/>
  <c r="N107" i="1" s="1"/>
  <c r="M83" i="1"/>
  <c r="N83" i="1" s="1"/>
  <c r="M59" i="1"/>
  <c r="N59" i="1" s="1"/>
  <c r="M43" i="1"/>
  <c r="N43" i="1" s="1"/>
  <c r="M19" i="1"/>
  <c r="N19" i="1" s="1"/>
  <c r="M138" i="1"/>
  <c r="N138" i="1" s="1"/>
  <c r="M98" i="1"/>
  <c r="N98" i="1" s="1"/>
  <c r="K139" i="1"/>
  <c r="K115" i="1"/>
  <c r="K91" i="1"/>
  <c r="K67" i="1"/>
  <c r="K35" i="1"/>
  <c r="M130" i="1"/>
  <c r="N130" i="1" s="1"/>
  <c r="M114" i="1"/>
  <c r="N114" i="1" s="1"/>
  <c r="M90" i="1"/>
  <c r="N90" i="1" s="1"/>
  <c r="M74" i="1"/>
  <c r="N74" i="1" s="1"/>
  <c r="M58" i="1"/>
  <c r="N58" i="1" s="1"/>
  <c r="M34" i="1"/>
  <c r="N34" i="1" s="1"/>
  <c r="N4" i="1" l="1"/>
  <c r="P4" i="1"/>
  <c r="Q4" i="1" s="1"/>
  <c r="N9" i="1"/>
  <c r="P9" i="1"/>
  <c r="Q9" i="1" s="1"/>
  <c r="N8" i="1"/>
  <c r="P8" i="1"/>
  <c r="Q8" i="1" s="1"/>
  <c r="N10" i="1"/>
  <c r="P10" i="1"/>
  <c r="Q10" i="1" s="1"/>
  <c r="N15" i="1"/>
  <c r="P15" i="1"/>
  <c r="Q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tc={D2A9EF1B-69A1-43B8-B221-8F70662D88B5}</author>
    <author>tc={6C13E23D-186F-410D-B81A-9C7DC3A68DE0}</author>
  </authors>
  <commentList>
    <comment ref="R1" authorId="0" shapeId="0" xr:uid="{D2A9EF1B-69A1-43B8-B221-8F70662D88B5}">
      <text>
        <t>[Threaded comment]
Your version of Excel allows you to read this threaded comment; however, any edits to it will get removed if the file is opened in a newer version of Excel. Learn more: https://go.microsoft.com/fwlink/?linkid=870924
Comment:
    Shipping% will vary based on the Product/Item</t>
      </text>
    </comment>
    <comment ref="S1" authorId="1" shapeId="0" xr:uid="{6C13E23D-186F-410D-B81A-9C7DC3A68DE0}">
      <text>
        <t>[Threaded comment]
Your version of Excel allows you to read this threaded comment; however, any edits to it will get removed if the file is opened in a newer version of Excel. Learn more: https://go.microsoft.com/fwlink/?linkid=870924
Comment:
    Shipping cost is calculated as a shipping percentage of the product’s standard price.</t>
      </text>
    </comment>
  </commentList>
</comments>
</file>

<file path=xl/sharedStrings.xml><?xml version="1.0" encoding="utf-8"?>
<sst xmlns="http://schemas.openxmlformats.org/spreadsheetml/2006/main" count="1024" uniqueCount="197">
  <si>
    <t>Sl. No.</t>
  </si>
  <si>
    <t>Standard Price</t>
  </si>
  <si>
    <t>Effective Customer Price INR</t>
  </si>
  <si>
    <t>Standard Price with Tax</t>
  </si>
  <si>
    <t>Tax%</t>
  </si>
  <si>
    <t>Ciyan CY110S ultrasound thermal paper type 1 (110mm*20m)</t>
  </si>
  <si>
    <t>Ciyan CY110HG (ultrasound thermal paper type 5)</t>
  </si>
  <si>
    <t>Neonatal Eye Protector ( Term / Preterm / Universal)</t>
  </si>
  <si>
    <t>Patient ID Band/Wrist band-Child</t>
  </si>
  <si>
    <t>Patient ID Band/Wrist band-Adult</t>
  </si>
  <si>
    <t>Coat Apron Regular 0.5 mmPb -S- 90 x 55 cm</t>
  </si>
  <si>
    <t>Coat ApronRegular 0.5 mmPb -M- 90 x 60</t>
  </si>
  <si>
    <t>Coat ApronRegular 0.5 mmPb -L- 100 x 60</t>
  </si>
  <si>
    <t>Coat ApronRegular 0.5 mmPb -XL- 110 x 65</t>
  </si>
  <si>
    <t>Coat ApronRegular 0.5 mmPb -XXL- 110 x 70</t>
  </si>
  <si>
    <t>Coat ApronRegular 0.5 mmPb -XXXL- 120 x 70</t>
  </si>
  <si>
    <t>Coat ApronRegular0.25 mmPb -S- 90 x 55</t>
  </si>
  <si>
    <t>Coat ApronRegular0.25 mmPb -M- 90 x 60</t>
  </si>
  <si>
    <t>Coat ApronRegular0.25 mmPb -L- 100 x 60</t>
  </si>
  <si>
    <t>Coat ApronRegular0.25 mmPb -XL- 110 x 65</t>
  </si>
  <si>
    <t>Coat ApronRegular0.25 mmPb -XXL- 110 x 70</t>
  </si>
  <si>
    <t>Coat ApronRegular0.25 mmPb -XXXL- 120 x 70</t>
  </si>
  <si>
    <t>Coat Apron Buckle Closure 0.5 mmPb -S- 90 x 55</t>
  </si>
  <si>
    <t>Coat Apron Buckle Closure 0.5 mmPb -M- 90 x 60</t>
  </si>
  <si>
    <t>Coat Apron Buckle Closure 0.5 mmPb -L- 100 x 60</t>
  </si>
  <si>
    <t>Coat Apron Buckle Closure 0.5 mmPb -XL- 110 x 65</t>
  </si>
  <si>
    <t>Coat Apron Buckle Closure 0.5 mmPb -XXL- 110 x 70</t>
  </si>
  <si>
    <t>Coat Apron Buckle Closure 0.5 mmPb -XXXL- 120 x 70</t>
  </si>
  <si>
    <t>Coat Apron Buckle Closure0.25 mmPb -S- 90 x 55</t>
  </si>
  <si>
    <t>Coat Apron Buckle Closure0.25 mmPb -M- 90 x 60</t>
  </si>
  <si>
    <t>Coat Apron Buckle Closure0.25 mmPb -L- 100 x 60</t>
  </si>
  <si>
    <t>Coat Apron Buckle Closure0.25 mmPb -XL- 110 x 65</t>
  </si>
  <si>
    <t>Coat Apron Buckle Closure0.25 mmPb -XXL- 110 x 70</t>
  </si>
  <si>
    <t>Coat Apron Buckle Closure0.25 mmPb -XXXL- 120 x 70</t>
  </si>
  <si>
    <t>Coat Apron Reversible 0.5 mmPb -S- 90 x 55</t>
  </si>
  <si>
    <t>Coat Apron Reversible 0.5 mmPb -M- 90 x 60</t>
  </si>
  <si>
    <t>Coat Apron Reversible 0.5 mmPb -L- 100 x 60</t>
  </si>
  <si>
    <t>Coat Apron Reversible 0.5 mmPb -XL- 110 x 65</t>
  </si>
  <si>
    <t>Coat Apron Reversible 0.5 mmPb -XXL- 110 x 70</t>
  </si>
  <si>
    <t>Coat Apron Reversible 0.5 mmPb -XXXL- 120 x 70</t>
  </si>
  <si>
    <t>Coat Apron Reversible0.25 mmPb -S- 90 x 55</t>
  </si>
  <si>
    <t>Coat Apron Reversible0.25 mmPb -M- 90 x 60</t>
  </si>
  <si>
    <t>Coat Apron Reversible0.25 mmPb -L- 100 x 60</t>
  </si>
  <si>
    <t>Coat Apron Reversible0.25 mmPb -XL- 110 x 65</t>
  </si>
  <si>
    <t>Coat Apron Reversible0.25 mmPb -XXL- 110 x 70</t>
  </si>
  <si>
    <t>Coat Apron Reversible0.25 mmPb -XXXL- 120 x 70</t>
  </si>
  <si>
    <t>Skirt Merge0.50/0.25 mmPb -S- 50 x 42</t>
  </si>
  <si>
    <t>Skirt Merge0.50/0.25 mmPb -M- 53 x 44</t>
  </si>
  <si>
    <t>Skirt Merge0.50/0.25 mmPb -L- 53 x 48</t>
  </si>
  <si>
    <t>Skirt Merge0.50/0.25 mmPb -XL- 57 x 54</t>
  </si>
  <si>
    <t>Skirt Merge0.50/0.25 mmPb -XXL- 62 x 60</t>
  </si>
  <si>
    <t>Vest Merge OL0.50/0.25 mmPb -S- 50 x 50</t>
  </si>
  <si>
    <t>Vest Merge OL0.50/0.25 mmPb -M- 57 x 55</t>
  </si>
  <si>
    <t>Vest Merge OL0.50/0.25 mmPb -L- 57 x 60</t>
  </si>
  <si>
    <t>Vest Merge OL0.50/0.25 mmPb -XL- 63 x 60</t>
  </si>
  <si>
    <t>Vest Merge OL0.50/0.25 mmPb -XXL- 68 x 70</t>
  </si>
  <si>
    <t>Double Sided Apron Merge OL0.50/0.25 mmPb -S- 90 x 50</t>
  </si>
  <si>
    <t>Double Sided Apron Merge OL0.50/0.25 mmPb -M- 100 x 55</t>
  </si>
  <si>
    <t>Double Sided Apron Merge OL0.50/0.25 mmPb -L- 100 x 60</t>
  </si>
  <si>
    <t>Double Sided Apron Merge OL0.50/0.25 mmPb -XL- 110 x 60</t>
  </si>
  <si>
    <t>Double Sided Apron Merge OL0.50/0.25 mmPb -XXL- 120 x 70</t>
  </si>
  <si>
    <t>Thyroid Shield - Velcro Closure Universal 0.5 mmPbUniversal-</t>
  </si>
  <si>
    <t>Thyroid Shield - Velcro Closure Sleek 0.5 mmPbUniversal-</t>
  </si>
  <si>
    <t>Thyroid Shield - Velcro Closure Model Reversible Universal 0.5 mmPbUniversal-</t>
  </si>
  <si>
    <t>Thyroid Shield - Velcro Closure Model Reversible Sleek 0.5 mmPbUniversal-</t>
  </si>
  <si>
    <t>Thyroid Shield - Velcro Closure PinSafe 0.5 mmPbUniversal-</t>
  </si>
  <si>
    <t>Thyroid Shield - Magnetic Closure Universal 0.5 mmPbUniversal-</t>
  </si>
  <si>
    <t>Thyroid Shield - Magnetic Closure Sleek 0.5 mmPbUniversal-</t>
  </si>
  <si>
    <t>Thyroid Shield - Magnetic Closure Reversible Universal 0.5 mmPbUniversal-</t>
  </si>
  <si>
    <t>Thyroid Shield - Magnetic Closure ReversibleSleek 0.5 mmPbUniversal-</t>
  </si>
  <si>
    <t>Thyroid Shield - Magnetic Closure PinSafe 0.5 mmPbUniversal-</t>
  </si>
  <si>
    <t>Gonad Shield Diaper1 mmPbAdult-</t>
  </si>
  <si>
    <t>Gonad Shield Diaper1 mmPbChild-</t>
  </si>
  <si>
    <t>Head Shield Topee0.25 mmPbUniversal-</t>
  </si>
  <si>
    <t>Head Shield Topee0.35 mmPbUniversal-</t>
  </si>
  <si>
    <t>Patient Apron0.5 mmPb -S- 30 x 30</t>
  </si>
  <si>
    <t>Patient Apron0.5 mmPb -M- 40 x 40</t>
  </si>
  <si>
    <t>Patient Apron0.5 mmPb -L- 50 x 50</t>
  </si>
  <si>
    <t>Patient Shield0.5 mmPb -S- 30 x 30</t>
  </si>
  <si>
    <t>Patient Shield0.5 mmPb -M- 40 x 40</t>
  </si>
  <si>
    <t>Patient Shield0.5 mmPb -L-50 x 50</t>
  </si>
  <si>
    <t>X-ray Protective Eyewear Fitover0.75 mmPbUniversal-</t>
  </si>
  <si>
    <t>X-ray Protective Eyewear Front &amp; Side0.75 mmPbUniversal-</t>
  </si>
  <si>
    <t>X-ray Protective Eyewear Front0.75 mmPbUniversal-</t>
  </si>
  <si>
    <t>X-ray Protective Eyewear Sporty0.75 mmPbUniversal-</t>
  </si>
  <si>
    <t>X-ray Protective Eyewear Aviator0.75 mmPbUniversal-</t>
  </si>
  <si>
    <t>X-ray Protective Eyewear Fitover Flip0.75 mmPbUniversal-</t>
  </si>
  <si>
    <t>Wall Rack 2 Hangers---</t>
  </si>
  <si>
    <t>Wall Rack 3 Hangers---</t>
  </si>
  <si>
    <t>Wall Rack 5 Hangers---</t>
  </si>
  <si>
    <t>Mobile Storage System 5 Hangers---</t>
  </si>
  <si>
    <t>Mobile Storage System 10 Hangers---</t>
  </si>
  <si>
    <t>Skirt Hook---</t>
  </si>
  <si>
    <t>Skirt Cross0.50/0.25 mmPb -S- 50 x 42</t>
  </si>
  <si>
    <t>Skirt Cross0.50/0.25 mmPb -M- 53 x 44</t>
  </si>
  <si>
    <t>Skirt Cross0.50/0.25 mmPb -L- 53 x 48</t>
  </si>
  <si>
    <t>Skirt Cross0.50/0.25 mmPb -XL- 57 x 54</t>
  </si>
  <si>
    <t>Skirt Cross0.50/0.25 mmPb -XXL- 62 x 60</t>
  </si>
  <si>
    <t>Vest Cross0.50/0.25 mmPb -S- 50 x 50</t>
  </si>
  <si>
    <t>Vest Cross0.50/0.25 mmPb -M- 57 x 55</t>
  </si>
  <si>
    <t>Vest Cross0.50/0.25 mmPb -L-57 x 60</t>
  </si>
  <si>
    <t>Vest Cross0.50/0.25 mmPb -XL-63 x 60</t>
  </si>
  <si>
    <t>Vest Cross0.50/0.25 mmPb -XXL-68 x 70</t>
  </si>
  <si>
    <t>Double Sided Apron Cross0.50/0.25 mmPb -S-90 x 50</t>
  </si>
  <si>
    <t>Double Sided Apron Cross0.50/0.25 mmPb -M-100 x 55</t>
  </si>
  <si>
    <t>Double Sided Apron Cross0.50/0.25 mmPb -L-100 x 60</t>
  </si>
  <si>
    <t>Double Sided Apron Cross0.50/0.25 mmPb -XL-110 x 60</t>
  </si>
  <si>
    <t>Double Sided Apron Cross0.50/0.25 mmPb -XXL-120 x 70</t>
  </si>
  <si>
    <t>Surgical Apron 0.5 mmPb -S-90 x 55</t>
  </si>
  <si>
    <t>Surgical Apron 0.5 mmPb -M-90 x 60</t>
  </si>
  <si>
    <t>Surgical Apron 0.5 mmPb -L-100 x 60</t>
  </si>
  <si>
    <t>Surgical Apron 0.5 mmPb -XL-110 x 60</t>
  </si>
  <si>
    <t>Dental Apron 0.5 mmPb -S-90 x 55</t>
  </si>
  <si>
    <t>Dental Apron 0.5 mmPb -M-90 x 60</t>
  </si>
  <si>
    <t>Panoramic Apron 0.35 mmPb Child 45 x 70</t>
  </si>
  <si>
    <t>Panoramic Apron 0.35 mmPb Adult55 x 80</t>
  </si>
  <si>
    <t>Children's Coat Apron 0.5 mmPb 3-5 yrs 60 X 40</t>
  </si>
  <si>
    <t>Children's Coat Apron 0.5 mmPb 6-8 yrs 70 X 45</t>
  </si>
  <si>
    <t>Children's Coat Apron 0.5 mmPb 9-12 Yrs 80 X 50</t>
  </si>
  <si>
    <t>Children's Coat Apron 0.25 mmPb  3-5 yrs 60 X 40</t>
  </si>
  <si>
    <t>Children's Coat Apron 0.25 mmPb  6-8 yrs 70 X 45</t>
  </si>
  <si>
    <t>Children's Coat Apron 0.25 mmPb  9-12 Yrs 80 X 50</t>
  </si>
  <si>
    <t>X Ray Protection Gloves - Mittens / Pair 0.5 mmPb Universal</t>
  </si>
  <si>
    <t>Lumbar Back Support Belt (optional)</t>
  </si>
  <si>
    <t>Inner Belt (optional)</t>
  </si>
  <si>
    <t>External Belt for Double Sided Apron (extra If needed)</t>
  </si>
  <si>
    <t>Integrated Sleeve Left 0.25 mmPb (optional)</t>
  </si>
  <si>
    <t>Integrated Sleeve Right 0.25 mmPb (optional)</t>
  </si>
  <si>
    <t>Outlast - Coat Apron (optional)</t>
  </si>
  <si>
    <t>Outlast - Skirt (optional)</t>
  </si>
  <si>
    <t>Outlast - Vest (optional)</t>
  </si>
  <si>
    <t>Effective Customer Price INR with Tax</t>
  </si>
  <si>
    <t>Manager  Discount
(Up to %)</t>
  </si>
  <si>
    <t>VP Sales Discount
(Up to %)</t>
  </si>
  <si>
    <t>Ciyan</t>
  </si>
  <si>
    <t>UoM</t>
  </si>
  <si>
    <t>No.</t>
  </si>
  <si>
    <t>Roll</t>
  </si>
  <si>
    <t>50 Bed AMC</t>
  </si>
  <si>
    <t>Pvt. BEMP</t>
  </si>
  <si>
    <t>Bed</t>
  </si>
  <si>
    <t>100 Bed AMC</t>
  </si>
  <si>
    <t>200 Bed AMC</t>
  </si>
  <si>
    <t>Single Slice - 16 Slice CT</t>
  </si>
  <si>
    <t>Color Doppler</t>
  </si>
  <si>
    <t>Single/Biplane Cathlab</t>
  </si>
  <si>
    <t>CR</t>
  </si>
  <si>
    <t>Fixed X-ray Systems - 100- 500 mA</t>
  </si>
  <si>
    <t>C-Arm</t>
  </si>
  <si>
    <t>Heart-Lung Machine</t>
  </si>
  <si>
    <t>Applicable only for add-on an AMC contract when some customers have these equipment.</t>
  </si>
  <si>
    <t>Remarks</t>
  </si>
  <si>
    <t>1.5T MRI</t>
  </si>
  <si>
    <t>CEO Sales Discount
(Up to %)</t>
  </si>
  <si>
    <t>Mobile X-ray - 20- 200 mA</t>
  </si>
  <si>
    <t>DR - Floor/Ceiling Mount</t>
  </si>
  <si>
    <t xml:space="preserve">Calibrations </t>
  </si>
  <si>
    <t>CMC</t>
  </si>
  <si>
    <t>16 Slice CTs - GE</t>
  </si>
  <si>
    <t>16 Slice CTs - Siemens</t>
  </si>
  <si>
    <t>Final quote amount based on inspection</t>
  </si>
  <si>
    <t>Business Vertical</t>
  </si>
  <si>
    <t>SAP
Item Code</t>
  </si>
  <si>
    <t>SAP Item Name</t>
  </si>
  <si>
    <t>Who should fixed price?</t>
  </si>
  <si>
    <t>Shipping Charges %</t>
  </si>
  <si>
    <t>Effective Shipping Charges</t>
  </si>
  <si>
    <t>Packing Charges %</t>
  </si>
  <si>
    <t>Effective Packing Charges</t>
  </si>
  <si>
    <t>Effective Installation Cost</t>
  </si>
  <si>
    <t>Installation Cost %</t>
  </si>
  <si>
    <t>Training Cost %</t>
  </si>
  <si>
    <t>Effective Training Cost</t>
  </si>
  <si>
    <t>Promotional Cost %</t>
  </si>
  <si>
    <t>Effective Promotional Cost</t>
  </si>
  <si>
    <t>Insurance Cost %</t>
  </si>
  <si>
    <t>Effective Insurance Cost</t>
  </si>
  <si>
    <t>Internal Transport Cost %</t>
  </si>
  <si>
    <t>Effective Internal Transport Cost</t>
  </si>
  <si>
    <t>Warranty Cost %</t>
  </si>
  <si>
    <t>Effective Warranty Cost</t>
  </si>
  <si>
    <t>Model Name</t>
  </si>
  <si>
    <t>Units</t>
  </si>
  <si>
    <t>Volume</t>
  </si>
  <si>
    <t>Dealer Price INR/ unit</t>
  </si>
  <si>
    <t>Max Retail Price - Dealer INR/Unit</t>
  </si>
  <si>
    <t>Ciyan CY110S ultrasound thermal paper type 1 (110mm*20m</t>
  </si>
  <si>
    <t>1 Roll</t>
  </si>
  <si>
    <t>100 units</t>
  </si>
  <si>
    <t>200 units</t>
  </si>
  <si>
    <t>1 piece</t>
  </si>
  <si>
    <t>50 units</t>
  </si>
  <si>
    <t>150+ units</t>
  </si>
  <si>
    <t>1 unit</t>
  </si>
  <si>
    <t>10 units</t>
  </si>
  <si>
    <t>SAP Item Code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</si>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</sst>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3" borderId="0" xfId="2" applyFont="1" applyFill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5" borderId="0" xfId="0" applyFill="1" applyAlignment="1">
      <alignment wrapText="1"/>
    </xf>
    <xf numFmtId="0" fontId="0" fillId="5" borderId="5" xfId="0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43" fontId="3" fillId="4" borderId="1" xfId="1" applyFont="1" applyFill="1" applyBorder="1" applyAlignment="1">
      <alignment horizontal="center" vertical="center" wrapText="1"/>
    </xf>
    <xf numFmtId="43" fontId="0" fillId="5" borderId="1" xfId="1" applyFont="1" applyFill="1" applyBorder="1"/>
    <xf numFmtId="43" fontId="0" fillId="5" borderId="0" xfId="1" applyFont="1" applyFill="1"/>
    <xf numFmtId="0" fontId="0" fillId="5" borderId="0" xfId="0" applyFill="1" applyAlignment="1">
      <alignment horizontal="left" wrapText="1"/>
    </xf>
    <xf numFmtId="0" fontId="0" fillId="5" borderId="0" xfId="0" applyFill="1" applyAlignment="1">
      <alignment horizontal="center"/>
    </xf>
    <xf numFmtId="164" fontId="3" fillId="4" borderId="1" xfId="1" applyNumberFormat="1" applyFont="1" applyFill="1" applyBorder="1" applyAlignment="1">
      <alignment horizontal="center" vertical="center" wrapText="1"/>
    </xf>
    <xf numFmtId="164" fontId="0" fillId="5" borderId="1" xfId="1" applyNumberFormat="1" applyFont="1" applyFill="1" applyBorder="1"/>
    <xf numFmtId="164" fontId="0" fillId="5" borderId="0" xfId="1" applyNumberFormat="1" applyFont="1" applyFill="1"/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43" fontId="0" fillId="5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43" fontId="0" fillId="5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3" fontId="0" fillId="5" borderId="1" xfId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evan Joy Pious" id="{38809ABA-98D5-4F1A-9EBD-16BBC733D99A}" userId="S::jeevan.pious@cyrix.in::84eb8caa-51f6-441f-b237-a9080957e5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6-03-24T08:13:19.91" personId="{38809ABA-98D5-4F1A-9EBD-16BBC733D99A}" id="{D2A9EF1B-69A1-43B8-B221-8F70662D88B5}">
    <text>Shipping% will vary based on the Product/Item</text>
  </threadedComment>
  <threadedComment ref="S1" dT="2026-03-24T08:16:21.10" personId="{38809ABA-98D5-4F1A-9EBD-16BBC733D99A}" id="{6C13E23D-186F-410D-B81A-9C7DC3A68DE0}">
    <text>Shipping cost is calculated as a shipping percentage of the product’s standard price.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"/>
  <sheetViews>
    <sheetView tabSelected="1" zoomScale="7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5" sqref="A5"/>
    </sheetView>
  </sheetViews>
  <sheetFormatPr defaultColWidth="9.109375" defaultRowHeight="14.4" x14ac:dyDescent="0.3"/>
  <cols>
    <col min="1" max="1" width="6.6640625" style="1" bestFit="1" customWidth="1"/>
    <col min="2" max="2" width="9.6640625" style="1" bestFit="1" customWidth="1"/>
    <col min="3" max="3" width="73.109375" style="2" bestFit="1" customWidth="1"/>
    <col min="4" max="4" width="15" style="2" bestFit="1" customWidth="1"/>
    <col min="5" max="5" width="5.88671875" style="1" bestFit="1" customWidth="1"/>
    <col min="6" max="6" width="14.33203125" style="3" bestFit="1" customWidth="1"/>
    <col min="7" max="7" width="5.5546875" style="1" bestFit="1" customWidth="1"/>
    <col min="8" max="8" width="14.33203125" style="3" bestFit="1" customWidth="1"/>
    <col min="9" max="9" width="18.109375" style="3" bestFit="1" customWidth="1"/>
    <col min="10" max="11" width="18.5546875" style="3" bestFit="1" customWidth="1"/>
    <col min="12" max="12" width="17.33203125" style="3" bestFit="1" customWidth="1"/>
    <col min="13" max="13" width="18.5546875" style="3" bestFit="1" customWidth="1"/>
    <col min="14" max="14" width="18.5546875" style="5" bestFit="1" customWidth="1"/>
    <col min="15" max="17" width="18.5546875" style="5" customWidth="1"/>
    <col min="18" max="18" width="9.5546875" style="5" bestFit="1" customWidth="1"/>
    <col min="19" max="19" width="9.33203125" style="5" bestFit="1" customWidth="1"/>
    <col min="20" max="20" width="9.5546875" style="5" bestFit="1" customWidth="1"/>
    <col min="21" max="21" width="8.77734375" style="5" bestFit="1" customWidth="1"/>
    <col min="22" max="22" width="11.109375" style="5" customWidth="1"/>
    <col min="23" max="23" width="10.33203125" style="5" bestFit="1" customWidth="1"/>
    <col min="24" max="33" width="18.5546875" style="5" customWidth="1"/>
    <col min="34" max="16384" width="9.109375" style="1"/>
  </cols>
  <sheetData>
    <row r="1" spans="1:36" s="8" customFormat="1" ht="43.2" x14ac:dyDescent="0.3">
      <c r="A1" s="6" t="s">
        <v>0</v>
      </c>
      <c r="B1" s="6" t="s">
        <v>162</v>
      </c>
      <c r="C1" s="6" t="s">
        <v>163</v>
      </c>
      <c r="D1" s="6" t="s">
        <v>161</v>
      </c>
      <c r="E1" s="6" t="s">
        <v>135</v>
      </c>
      <c r="F1" s="7" t="s">
        <v>1</v>
      </c>
      <c r="G1" s="6" t="s">
        <v>4</v>
      </c>
      <c r="H1" s="7" t="s">
        <v>3</v>
      </c>
      <c r="I1" s="7" t="s">
        <v>132</v>
      </c>
      <c r="J1" s="7" t="s">
        <v>2</v>
      </c>
      <c r="K1" s="7" t="s">
        <v>131</v>
      </c>
      <c r="L1" s="7" t="s">
        <v>133</v>
      </c>
      <c r="M1" s="7" t="s">
        <v>2</v>
      </c>
      <c r="N1" s="7" t="s">
        <v>131</v>
      </c>
      <c r="O1" s="7" t="s">
        <v>153</v>
      </c>
      <c r="P1" s="7" t="s">
        <v>2</v>
      </c>
      <c r="Q1" s="7" t="s">
        <v>131</v>
      </c>
      <c r="R1" s="7" t="s">
        <v>165</v>
      </c>
      <c r="S1" s="7" t="s">
        <v>166</v>
      </c>
      <c r="T1" s="7" t="s">
        <v>167</v>
      </c>
      <c r="U1" s="7" t="s">
        <v>168</v>
      </c>
      <c r="V1" s="7" t="s">
        <v>170</v>
      </c>
      <c r="W1" s="7" t="s">
        <v>169</v>
      </c>
      <c r="X1" s="7" t="s">
        <v>171</v>
      </c>
      <c r="Y1" s="7" t="s">
        <v>172</v>
      </c>
      <c r="Z1" s="7" t="s">
        <v>173</v>
      </c>
      <c r="AA1" s="7" t="s">
        <v>174</v>
      </c>
      <c r="AB1" s="7" t="s">
        <v>175</v>
      </c>
      <c r="AC1" s="7" t="s">
        <v>176</v>
      </c>
      <c r="AD1" s="7" t="s">
        <v>177</v>
      </c>
      <c r="AE1" s="7" t="s">
        <v>178</v>
      </c>
      <c r="AF1" s="7" t="s">
        <v>179</v>
      </c>
      <c r="AG1" s="7" t="s">
        <v>180</v>
      </c>
      <c r="AH1" s="7" t="s">
        <v>151</v>
      </c>
      <c r="AJ1" s="2" t="s">
        <v>164</v>
      </c>
    </row>
    <row r="2" spans="1:36" x14ac:dyDescent="0.3">
      <c r="A2" s="1">
        <v>1</v>
      </c>
      <c r="C2" s="2" t="s">
        <v>138</v>
      </c>
      <c r="D2" s="2" t="s">
        <v>139</v>
      </c>
      <c r="E2" s="1" t="s">
        <v>140</v>
      </c>
      <c r="F2" s="3">
        <v>300000</v>
      </c>
      <c r="G2" s="4">
        <v>0.18</v>
      </c>
      <c r="H2" s="3">
        <f>F2+(F2*G2)</f>
        <v>354000</v>
      </c>
      <c r="I2" s="9">
        <v>0.08</v>
      </c>
      <c r="J2" s="3">
        <f>F2-(F2*I2)</f>
        <v>276000</v>
      </c>
      <c r="K2" s="3">
        <f>J2+(J2*G2)</f>
        <v>325680</v>
      </c>
      <c r="L2" s="9">
        <v>0.04</v>
      </c>
      <c r="M2" s="3">
        <f>J2-(J2*L2)</f>
        <v>264960</v>
      </c>
      <c r="N2" s="5">
        <f>M2+(M2*G2)</f>
        <v>312652.79999999999</v>
      </c>
      <c r="O2" s="9">
        <v>0.03</v>
      </c>
      <c r="P2" s="5">
        <f>M2-(M2*O2)</f>
        <v>257011.20000000001</v>
      </c>
      <c r="Q2" s="5">
        <f>P2+(P2*G2)</f>
        <v>303273.21600000001</v>
      </c>
      <c r="R2" s="4" t="s">
        <v>196</v>
      </c>
      <c r="S2" s="4" t="s">
        <v>196</v>
      </c>
      <c r="T2" s="4" t="s">
        <v>196</v>
      </c>
      <c r="U2" s="4" t="s">
        <v>196</v>
      </c>
      <c r="V2" s="4" t="s">
        <v>196</v>
      </c>
      <c r="W2" s="4" t="s">
        <v>196</v>
      </c>
      <c r="Y2" s="5">
        <f>$F$2*X2</f>
        <v>0</v>
      </c>
      <c r="AA2" s="5">
        <f>$F$2*Z2</f>
        <v>0</v>
      </c>
      <c r="AB2" s="4" t="s">
        <v>196</v>
      </c>
      <c r="AC2" s="4" t="s">
        <v>196</v>
      </c>
      <c r="AD2" s="4" t="s">
        <v>196</v>
      </c>
      <c r="AE2" s="4" t="s">
        <v>196</v>
      </c>
      <c r="AF2" s="4" t="s">
        <v>196</v>
      </c>
      <c r="AG2" s="4" t="s">
        <v>196</v>
      </c>
    </row>
    <row r="3" spans="1:36" x14ac:dyDescent="0.3">
      <c r="A3" s="1">
        <v>2</v>
      </c>
      <c r="C3" s="2" t="s">
        <v>141</v>
      </c>
      <c r="D3" s="2" t="s">
        <v>139</v>
      </c>
      <c r="E3" s="1" t="s">
        <v>140</v>
      </c>
      <c r="F3" s="3">
        <v>600000</v>
      </c>
      <c r="G3" s="4">
        <v>0.18</v>
      </c>
      <c r="H3" s="3">
        <f>F3+(F3*G3)</f>
        <v>708000</v>
      </c>
      <c r="I3" s="9">
        <v>0.08</v>
      </c>
      <c r="J3" s="3">
        <f>F3-(F3*I3)</f>
        <v>552000</v>
      </c>
      <c r="K3" s="3">
        <f>J3+(J3*G3)</f>
        <v>651360</v>
      </c>
      <c r="L3" s="9">
        <v>0.04</v>
      </c>
      <c r="M3" s="3">
        <f>J3-(J3*L3)</f>
        <v>529920</v>
      </c>
      <c r="N3" s="5">
        <f>M3+(M3*G3)</f>
        <v>625305.59999999998</v>
      </c>
      <c r="O3" s="9">
        <v>0.02</v>
      </c>
      <c r="P3" s="5">
        <f>M3-(M3*O3)</f>
        <v>519321.59999999998</v>
      </c>
      <c r="Q3" s="5">
        <f t="shared" ref="Q3:Q4" si="0">P3+(P3*G3)</f>
        <v>612799.48800000001</v>
      </c>
      <c r="R3" s="4" t="s">
        <v>196</v>
      </c>
      <c r="S3" s="4" t="s">
        <v>196</v>
      </c>
      <c r="T3" s="4" t="s">
        <v>196</v>
      </c>
      <c r="U3" s="4" t="s">
        <v>196</v>
      </c>
      <c r="V3" s="4" t="s">
        <v>196</v>
      </c>
      <c r="W3" s="4" t="s">
        <v>196</v>
      </c>
      <c r="Y3" s="5">
        <f t="shared" ref="Y3:Y9" si="1">$F$2*X3</f>
        <v>0</v>
      </c>
      <c r="AA3" s="5">
        <f t="shared" ref="AA3:AA9" si="2">$F$2*Z3</f>
        <v>0</v>
      </c>
      <c r="AB3" s="4" t="s">
        <v>196</v>
      </c>
      <c r="AC3" s="4" t="s">
        <v>196</v>
      </c>
      <c r="AD3" s="4" t="s">
        <v>196</v>
      </c>
      <c r="AE3" s="4" t="s">
        <v>196</v>
      </c>
      <c r="AF3" s="4" t="s">
        <v>196</v>
      </c>
      <c r="AG3" s="4" t="s">
        <v>196</v>
      </c>
    </row>
    <row r="4" spans="1:36" x14ac:dyDescent="0.3">
      <c r="A4" s="1">
        <v>3</v>
      </c>
      <c r="C4" s="2" t="s">
        <v>142</v>
      </c>
      <c r="D4" s="2" t="s">
        <v>139</v>
      </c>
      <c r="E4" s="1" t="s">
        <v>140</v>
      </c>
      <c r="F4" s="3">
        <v>1200000</v>
      </c>
      <c r="G4" s="4">
        <v>0.18</v>
      </c>
      <c r="H4" s="3">
        <f>F4+(F4*G4)</f>
        <v>1416000</v>
      </c>
      <c r="I4" s="9">
        <v>0.08</v>
      </c>
      <c r="J4" s="3">
        <f>F4-(F4*I4)</f>
        <v>1104000</v>
      </c>
      <c r="K4" s="3">
        <f>J4+(J4*G4)</f>
        <v>1302720</v>
      </c>
      <c r="L4" s="9">
        <v>0.04</v>
      </c>
      <c r="M4" s="3">
        <f>J4-(J4*L4)</f>
        <v>1059840</v>
      </c>
      <c r="N4" s="5">
        <f>M4+(M4*G4)</f>
        <v>1250611.2</v>
      </c>
      <c r="O4" s="9">
        <v>0.02</v>
      </c>
      <c r="P4" s="5">
        <f>M4-(M4*O4)</f>
        <v>1038643.2</v>
      </c>
      <c r="Q4" s="5">
        <f t="shared" si="0"/>
        <v>1225598.976</v>
      </c>
      <c r="R4" s="4" t="s">
        <v>196</v>
      </c>
      <c r="S4" s="4" t="s">
        <v>196</v>
      </c>
      <c r="T4" s="4" t="s">
        <v>196</v>
      </c>
      <c r="U4" s="4" t="s">
        <v>196</v>
      </c>
      <c r="V4" s="4" t="s">
        <v>196</v>
      </c>
      <c r="W4" s="4" t="s">
        <v>196</v>
      </c>
      <c r="Y4" s="5">
        <f t="shared" si="1"/>
        <v>0</v>
      </c>
      <c r="AA4" s="5">
        <f t="shared" si="2"/>
        <v>0</v>
      </c>
      <c r="AB4" s="4" t="s">
        <v>196</v>
      </c>
      <c r="AC4" s="4" t="s">
        <v>196</v>
      </c>
      <c r="AD4" s="4" t="s">
        <v>196</v>
      </c>
      <c r="AE4" s="4" t="s">
        <v>196</v>
      </c>
      <c r="AF4" s="4" t="s">
        <v>196</v>
      </c>
      <c r="AG4" s="4" t="s">
        <v>196</v>
      </c>
    </row>
    <row r="5" spans="1:36" x14ac:dyDescent="0.3">
      <c r="A5" s="1">
        <v>4</v>
      </c>
      <c r="C5" s="2" t="s">
        <v>143</v>
      </c>
      <c r="D5" s="2" t="s">
        <v>139</v>
      </c>
      <c r="E5" s="1" t="s">
        <v>136</v>
      </c>
      <c r="F5" s="3">
        <v>350000</v>
      </c>
      <c r="G5" s="4">
        <v>0.18</v>
      </c>
      <c r="H5" s="3">
        <f t="shared" ref="H5:H17" si="3">F5+(F5*G5)</f>
        <v>413000</v>
      </c>
      <c r="I5" s="9">
        <v>0.08</v>
      </c>
      <c r="J5" s="3">
        <f t="shared" ref="J5:J17" si="4">F5-(F5*I5)</f>
        <v>322000</v>
      </c>
      <c r="K5" s="3">
        <f t="shared" ref="K5:K17" si="5">J5+(J5*G5)</f>
        <v>379960</v>
      </c>
      <c r="L5" s="9">
        <v>0.04</v>
      </c>
      <c r="M5" s="3">
        <f t="shared" ref="M5:M17" si="6">J5-(J5*L5)</f>
        <v>309120</v>
      </c>
      <c r="N5" s="5">
        <f t="shared" ref="N5:N17" si="7">M5+(M5*G5)</f>
        <v>364761.59999999998</v>
      </c>
      <c r="O5" s="9">
        <v>0.02</v>
      </c>
      <c r="P5" s="5">
        <f t="shared" ref="P5:P17" si="8">M5-(M5*O5)</f>
        <v>302937.59999999998</v>
      </c>
      <c r="Q5" s="5">
        <f t="shared" ref="Q5:Q17" si="9">P5+(P5*G5)</f>
        <v>357466.36799999996</v>
      </c>
      <c r="R5" s="4">
        <v>0.1</v>
      </c>
      <c r="S5" s="5">
        <f>$F2*R5</f>
        <v>30000</v>
      </c>
      <c r="T5" s="4">
        <v>0.02</v>
      </c>
      <c r="U5" s="5">
        <f>$F2*T5</f>
        <v>6000</v>
      </c>
      <c r="W5" s="5">
        <f>$F2*V5</f>
        <v>0</v>
      </c>
      <c r="Y5" s="5">
        <f>$F2*X5</f>
        <v>0</v>
      </c>
      <c r="AA5" s="5">
        <f>$F2*Z5</f>
        <v>0</v>
      </c>
      <c r="AC5" s="5">
        <f>$F2*AB5</f>
        <v>0</v>
      </c>
      <c r="AE5" s="5">
        <f>$F2*AD5</f>
        <v>0</v>
      </c>
      <c r="AG5" s="5">
        <f>$F2*AF5</f>
        <v>0</v>
      </c>
      <c r="AH5" s="2" t="s">
        <v>150</v>
      </c>
    </row>
    <row r="6" spans="1:36" x14ac:dyDescent="0.3">
      <c r="A6" s="1">
        <v>5</v>
      </c>
      <c r="C6" s="2" t="s">
        <v>152</v>
      </c>
      <c r="D6" s="2" t="s">
        <v>139</v>
      </c>
      <c r="E6" s="1" t="s">
        <v>136</v>
      </c>
      <c r="F6" s="3">
        <v>500000</v>
      </c>
      <c r="G6" s="4">
        <v>0.18</v>
      </c>
      <c r="H6" s="3">
        <f t="shared" si="3"/>
        <v>590000</v>
      </c>
      <c r="I6" s="9">
        <v>0.08</v>
      </c>
      <c r="J6" s="3">
        <f t="shared" si="4"/>
        <v>460000</v>
      </c>
      <c r="K6" s="3">
        <f t="shared" si="5"/>
        <v>542800</v>
      </c>
      <c r="L6" s="9">
        <v>0.04</v>
      </c>
      <c r="M6" s="3">
        <f t="shared" si="6"/>
        <v>441600</v>
      </c>
      <c r="N6" s="5">
        <f t="shared" si="7"/>
        <v>521088</v>
      </c>
      <c r="O6" s="9">
        <v>0.02</v>
      </c>
      <c r="P6" s="5">
        <f t="shared" si="8"/>
        <v>432768</v>
      </c>
      <c r="Q6" s="5">
        <f t="shared" si="9"/>
        <v>510666.23999999999</v>
      </c>
      <c r="R6" s="4">
        <v>0.1</v>
      </c>
      <c r="S6" s="5">
        <f t="shared" ref="S6:S9" si="10">$F3*R6</f>
        <v>60000</v>
      </c>
      <c r="T6" s="4">
        <v>0.02</v>
      </c>
      <c r="U6" s="5">
        <f t="shared" ref="U6:W9" si="11">$F3*T6</f>
        <v>12000</v>
      </c>
      <c r="W6" s="5">
        <f t="shared" ref="W6" si="12">$F3*V6</f>
        <v>0</v>
      </c>
      <c r="Y6" s="5">
        <f t="shared" ref="Y6" si="13">$F3*X6</f>
        <v>0</v>
      </c>
      <c r="AA6" s="5">
        <f t="shared" ref="AA6" si="14">$F3*Z6</f>
        <v>0</v>
      </c>
      <c r="AC6" s="5">
        <f t="shared" ref="AC6" si="15">$F3*AB6</f>
        <v>0</v>
      </c>
      <c r="AE6" s="5">
        <f t="shared" ref="AE6" si="16">$F3*AD6</f>
        <v>0</v>
      </c>
      <c r="AG6" s="5">
        <f t="shared" ref="AG6" si="17">$F3*AF6</f>
        <v>0</v>
      </c>
      <c r="AH6" s="2" t="s">
        <v>150</v>
      </c>
    </row>
    <row r="7" spans="1:36" x14ac:dyDescent="0.3">
      <c r="A7" s="1">
        <v>6</v>
      </c>
      <c r="C7" s="2" t="s">
        <v>144</v>
      </c>
      <c r="D7" s="2" t="s">
        <v>139</v>
      </c>
      <c r="E7" s="1" t="s">
        <v>136</v>
      </c>
      <c r="F7" s="3">
        <v>35000</v>
      </c>
      <c r="G7" s="4">
        <v>0.18</v>
      </c>
      <c r="H7" s="3">
        <f t="shared" si="3"/>
        <v>41300</v>
      </c>
      <c r="I7" s="9">
        <v>0.08</v>
      </c>
      <c r="J7" s="3">
        <f t="shared" si="4"/>
        <v>32200</v>
      </c>
      <c r="K7" s="3">
        <f t="shared" si="5"/>
        <v>37996</v>
      </c>
      <c r="L7" s="9">
        <v>0.04</v>
      </c>
      <c r="M7" s="3">
        <f t="shared" si="6"/>
        <v>30912</v>
      </c>
      <c r="N7" s="5">
        <f t="shared" si="7"/>
        <v>36476.160000000003</v>
      </c>
      <c r="O7" s="9">
        <v>0.02</v>
      </c>
      <c r="P7" s="5">
        <f t="shared" si="8"/>
        <v>30293.759999999998</v>
      </c>
      <c r="Q7" s="5">
        <f t="shared" si="9"/>
        <v>35746.6368</v>
      </c>
      <c r="R7" s="4">
        <v>0.1</v>
      </c>
      <c r="S7" s="5">
        <f t="shared" si="10"/>
        <v>120000</v>
      </c>
      <c r="T7" s="4">
        <v>0.02</v>
      </c>
      <c r="U7" s="5">
        <f t="shared" si="11"/>
        <v>24000</v>
      </c>
      <c r="W7" s="5">
        <f t="shared" ref="W7" si="18">$F4*V7</f>
        <v>0</v>
      </c>
      <c r="Y7" s="5">
        <f t="shared" ref="Y7" si="19">$F4*X7</f>
        <v>0</v>
      </c>
      <c r="AA7" s="5">
        <f t="shared" ref="AA7" si="20">$F4*Z7</f>
        <v>0</v>
      </c>
      <c r="AC7" s="5">
        <f t="shared" ref="AC7" si="21">$F4*AB7</f>
        <v>0</v>
      </c>
      <c r="AE7" s="5">
        <f t="shared" ref="AE7" si="22">$F4*AD7</f>
        <v>0</v>
      </c>
      <c r="AG7" s="5">
        <f t="shared" ref="AG7" si="23">$F4*AF7</f>
        <v>0</v>
      </c>
      <c r="AH7" s="2" t="s">
        <v>150</v>
      </c>
    </row>
    <row r="8" spans="1:36" x14ac:dyDescent="0.3">
      <c r="A8" s="1">
        <v>7</v>
      </c>
      <c r="C8" s="2" t="s">
        <v>145</v>
      </c>
      <c r="D8" s="2" t="s">
        <v>139</v>
      </c>
      <c r="E8" s="1" t="s">
        <v>136</v>
      </c>
      <c r="F8" s="3">
        <v>500000</v>
      </c>
      <c r="G8" s="4">
        <v>0.18</v>
      </c>
      <c r="H8" s="3">
        <f t="shared" si="3"/>
        <v>590000</v>
      </c>
      <c r="I8" s="9">
        <v>0.08</v>
      </c>
      <c r="J8" s="3">
        <f t="shared" si="4"/>
        <v>460000</v>
      </c>
      <c r="K8" s="3">
        <f t="shared" si="5"/>
        <v>542800</v>
      </c>
      <c r="L8" s="9">
        <v>0.04</v>
      </c>
      <c r="M8" s="3">
        <f t="shared" si="6"/>
        <v>441600</v>
      </c>
      <c r="N8" s="5">
        <f t="shared" si="7"/>
        <v>521088</v>
      </c>
      <c r="O8" s="9">
        <v>0.02</v>
      </c>
      <c r="P8" s="5">
        <f t="shared" si="8"/>
        <v>432768</v>
      </c>
      <c r="Q8" s="5">
        <f t="shared" si="9"/>
        <v>510666.23999999999</v>
      </c>
      <c r="R8" s="4">
        <v>0.1</v>
      </c>
      <c r="S8" s="5">
        <f t="shared" si="10"/>
        <v>35000</v>
      </c>
      <c r="T8" s="4">
        <v>0.02</v>
      </c>
      <c r="U8" s="5">
        <f t="shared" si="11"/>
        <v>7000</v>
      </c>
      <c r="W8" s="5">
        <f t="shared" ref="W8" si="24">$F5*V8</f>
        <v>0</v>
      </c>
      <c r="Y8" s="5">
        <f t="shared" ref="Y8" si="25">$F5*X8</f>
        <v>0</v>
      </c>
      <c r="AA8" s="5">
        <f t="shared" ref="AA8" si="26">$F5*Z8</f>
        <v>0</v>
      </c>
      <c r="AC8" s="5">
        <f t="shared" ref="AC8" si="27">$F5*AB8</f>
        <v>0</v>
      </c>
      <c r="AE8" s="5">
        <f t="shared" ref="AE8" si="28">$F5*AD8</f>
        <v>0</v>
      </c>
      <c r="AG8" s="5">
        <f t="shared" ref="AG8" si="29">$F5*AF8</f>
        <v>0</v>
      </c>
      <c r="AH8" s="2" t="s">
        <v>150</v>
      </c>
    </row>
    <row r="9" spans="1:36" x14ac:dyDescent="0.3">
      <c r="A9" s="1">
        <v>8</v>
      </c>
      <c r="C9" s="2" t="s">
        <v>146</v>
      </c>
      <c r="D9" s="2" t="s">
        <v>139</v>
      </c>
      <c r="E9" s="1" t="s">
        <v>136</v>
      </c>
      <c r="F9" s="3">
        <v>35000</v>
      </c>
      <c r="G9" s="4">
        <v>0.18</v>
      </c>
      <c r="H9" s="3">
        <f t="shared" si="3"/>
        <v>41300</v>
      </c>
      <c r="I9" s="9">
        <v>0.08</v>
      </c>
      <c r="J9" s="3">
        <f t="shared" si="4"/>
        <v>32200</v>
      </c>
      <c r="K9" s="3">
        <f t="shared" si="5"/>
        <v>37996</v>
      </c>
      <c r="L9" s="9">
        <v>0.04</v>
      </c>
      <c r="M9" s="3">
        <f t="shared" si="6"/>
        <v>30912</v>
      </c>
      <c r="N9" s="5">
        <f t="shared" si="7"/>
        <v>36476.160000000003</v>
      </c>
      <c r="O9" s="9">
        <v>0.02</v>
      </c>
      <c r="P9" s="5">
        <f t="shared" si="8"/>
        <v>30293.759999999998</v>
      </c>
      <c r="Q9" s="5">
        <f t="shared" si="9"/>
        <v>35746.6368</v>
      </c>
      <c r="R9" s="4">
        <v>0.1</v>
      </c>
      <c r="S9" s="5">
        <f t="shared" si="10"/>
        <v>50000</v>
      </c>
      <c r="T9" s="4">
        <v>0.02</v>
      </c>
      <c r="U9" s="5">
        <f t="shared" si="11"/>
        <v>10000</v>
      </c>
      <c r="W9" s="5">
        <f t="shared" ref="W9" si="30">$F6*V9</f>
        <v>0</v>
      </c>
      <c r="Y9" s="5">
        <f t="shared" ref="Y9" si="31">$F6*X9</f>
        <v>0</v>
      </c>
      <c r="AA9" s="5">
        <f t="shared" ref="AA9" si="32">$F6*Z9</f>
        <v>0</v>
      </c>
      <c r="AC9" s="5">
        <f t="shared" ref="AC9" si="33">$F6*AB9</f>
        <v>0</v>
      </c>
      <c r="AE9" s="5">
        <f t="shared" ref="AE9" si="34">$F6*AD9</f>
        <v>0</v>
      </c>
      <c r="AG9" s="5">
        <f t="shared" ref="AG9" si="35">$F6*AF9</f>
        <v>0</v>
      </c>
      <c r="AH9" s="2" t="s">
        <v>150</v>
      </c>
    </row>
    <row r="10" spans="1:36" x14ac:dyDescent="0.3">
      <c r="A10" s="1">
        <v>9</v>
      </c>
      <c r="C10" s="2" t="s">
        <v>147</v>
      </c>
      <c r="D10" s="2" t="s">
        <v>139</v>
      </c>
      <c r="E10" s="1" t="s">
        <v>136</v>
      </c>
      <c r="F10" s="3">
        <v>20000</v>
      </c>
      <c r="G10" s="4">
        <v>0.18</v>
      </c>
      <c r="H10" s="3">
        <f t="shared" si="3"/>
        <v>23600</v>
      </c>
      <c r="I10" s="9">
        <v>0.08</v>
      </c>
      <c r="J10" s="3">
        <f t="shared" si="4"/>
        <v>18400</v>
      </c>
      <c r="K10" s="3">
        <f t="shared" si="5"/>
        <v>21712</v>
      </c>
      <c r="L10" s="9">
        <v>0.04</v>
      </c>
      <c r="M10" s="3">
        <f t="shared" si="6"/>
        <v>17664</v>
      </c>
      <c r="N10" s="5">
        <f t="shared" si="7"/>
        <v>20843.52</v>
      </c>
      <c r="O10" s="9">
        <v>0.02</v>
      </c>
      <c r="P10" s="5">
        <f t="shared" si="8"/>
        <v>17310.72</v>
      </c>
      <c r="Q10" s="5">
        <f t="shared" si="9"/>
        <v>20426.649600000001</v>
      </c>
      <c r="AH10" s="2" t="s">
        <v>150</v>
      </c>
    </row>
    <row r="11" spans="1:36" x14ac:dyDescent="0.3">
      <c r="A11" s="1">
        <v>10</v>
      </c>
      <c r="C11" s="2" t="s">
        <v>154</v>
      </c>
      <c r="D11" s="2" t="s">
        <v>139</v>
      </c>
      <c r="E11" s="1" t="s">
        <v>136</v>
      </c>
      <c r="F11" s="3">
        <v>8000</v>
      </c>
      <c r="G11" s="4">
        <v>0.18</v>
      </c>
      <c r="H11" s="3">
        <f t="shared" si="3"/>
        <v>9440</v>
      </c>
      <c r="I11" s="9">
        <v>0.08</v>
      </c>
      <c r="J11" s="3">
        <f t="shared" si="4"/>
        <v>7360</v>
      </c>
      <c r="K11" s="3">
        <f t="shared" si="5"/>
        <v>8684.7999999999993</v>
      </c>
      <c r="L11" s="9">
        <v>0.04</v>
      </c>
      <c r="M11" s="3">
        <f t="shared" si="6"/>
        <v>7065.6</v>
      </c>
      <c r="N11" s="5">
        <f t="shared" si="7"/>
        <v>8337.4079999999994</v>
      </c>
      <c r="O11" s="9">
        <v>0.02</v>
      </c>
      <c r="P11" s="5">
        <f t="shared" si="8"/>
        <v>6924.2880000000005</v>
      </c>
      <c r="Q11" s="5">
        <f t="shared" si="9"/>
        <v>8170.6598400000003</v>
      </c>
      <c r="AH11" s="2" t="s">
        <v>150</v>
      </c>
    </row>
    <row r="12" spans="1:36" x14ac:dyDescent="0.3">
      <c r="A12" s="1">
        <v>11</v>
      </c>
      <c r="C12" s="2" t="s">
        <v>155</v>
      </c>
      <c r="D12" s="2" t="s">
        <v>139</v>
      </c>
      <c r="E12" s="1" t="s">
        <v>136</v>
      </c>
      <c r="F12" s="3">
        <v>100000</v>
      </c>
      <c r="G12" s="4">
        <v>0.18</v>
      </c>
      <c r="H12" s="3">
        <f t="shared" si="3"/>
        <v>118000</v>
      </c>
      <c r="I12" s="9">
        <v>0.08</v>
      </c>
      <c r="J12" s="3">
        <f t="shared" si="4"/>
        <v>92000</v>
      </c>
      <c r="K12" s="3">
        <f t="shared" si="5"/>
        <v>108560</v>
      </c>
      <c r="L12" s="9">
        <v>0.04</v>
      </c>
      <c r="M12" s="3">
        <f t="shared" si="6"/>
        <v>88320</v>
      </c>
      <c r="N12" s="5">
        <f t="shared" si="7"/>
        <v>104217.60000000001</v>
      </c>
      <c r="O12" s="9">
        <v>0.02</v>
      </c>
      <c r="P12" s="5">
        <f t="shared" si="8"/>
        <v>86553.600000000006</v>
      </c>
      <c r="Q12" s="5">
        <f t="shared" si="9"/>
        <v>102133.24800000001</v>
      </c>
      <c r="AH12" s="2" t="s">
        <v>150</v>
      </c>
    </row>
    <row r="13" spans="1:36" x14ac:dyDescent="0.3">
      <c r="A13" s="1">
        <v>12</v>
      </c>
      <c r="C13" s="2" t="s">
        <v>148</v>
      </c>
      <c r="D13" s="2" t="s">
        <v>139</v>
      </c>
      <c r="E13" s="1" t="s">
        <v>136</v>
      </c>
      <c r="F13" s="3">
        <v>35000</v>
      </c>
      <c r="G13" s="4">
        <v>0.18</v>
      </c>
      <c r="H13" s="3">
        <f t="shared" si="3"/>
        <v>41300</v>
      </c>
      <c r="I13" s="9">
        <v>0.08</v>
      </c>
      <c r="J13" s="3">
        <f t="shared" si="4"/>
        <v>32200</v>
      </c>
      <c r="K13" s="3">
        <f t="shared" si="5"/>
        <v>37996</v>
      </c>
      <c r="L13" s="9">
        <v>0.04</v>
      </c>
      <c r="M13" s="3">
        <f t="shared" si="6"/>
        <v>30912</v>
      </c>
      <c r="N13" s="5">
        <f t="shared" si="7"/>
        <v>36476.160000000003</v>
      </c>
      <c r="O13" s="9">
        <v>0.02</v>
      </c>
      <c r="P13" s="5">
        <f t="shared" si="8"/>
        <v>30293.759999999998</v>
      </c>
      <c r="Q13" s="5">
        <f t="shared" si="9"/>
        <v>35746.6368</v>
      </c>
      <c r="AH13" s="2" t="s">
        <v>150</v>
      </c>
    </row>
    <row r="14" spans="1:36" x14ac:dyDescent="0.3">
      <c r="A14" s="1">
        <v>13</v>
      </c>
      <c r="C14" s="2" t="s">
        <v>149</v>
      </c>
      <c r="D14" s="2" t="s">
        <v>139</v>
      </c>
      <c r="E14" s="1" t="s">
        <v>136</v>
      </c>
      <c r="F14" s="3">
        <v>40000</v>
      </c>
      <c r="G14" s="4">
        <v>0.18</v>
      </c>
      <c r="H14" s="3">
        <f t="shared" si="3"/>
        <v>47200</v>
      </c>
      <c r="I14" s="9">
        <v>0.08</v>
      </c>
      <c r="J14" s="3">
        <f t="shared" si="4"/>
        <v>36800</v>
      </c>
      <c r="K14" s="3">
        <f t="shared" si="5"/>
        <v>43424</v>
      </c>
      <c r="L14" s="9">
        <v>0.04</v>
      </c>
      <c r="M14" s="3">
        <f t="shared" si="6"/>
        <v>35328</v>
      </c>
      <c r="N14" s="5">
        <f t="shared" si="7"/>
        <v>41687.040000000001</v>
      </c>
      <c r="O14" s="9">
        <v>0.02</v>
      </c>
      <c r="P14" s="5">
        <f t="shared" si="8"/>
        <v>34621.440000000002</v>
      </c>
      <c r="Q14" s="5">
        <f t="shared" si="9"/>
        <v>40853.299200000001</v>
      </c>
      <c r="AH14" s="2" t="s">
        <v>150</v>
      </c>
    </row>
    <row r="15" spans="1:36" x14ac:dyDescent="0.3">
      <c r="A15" s="1">
        <v>14</v>
      </c>
      <c r="C15" s="2" t="s">
        <v>156</v>
      </c>
      <c r="D15" s="2" t="s">
        <v>139</v>
      </c>
      <c r="E15" s="1" t="s">
        <v>136</v>
      </c>
      <c r="F15" s="3">
        <v>50000</v>
      </c>
      <c r="G15" s="4">
        <v>0.18</v>
      </c>
      <c r="H15" s="3">
        <f t="shared" si="3"/>
        <v>59000</v>
      </c>
      <c r="I15" s="9">
        <v>0.08</v>
      </c>
      <c r="J15" s="3">
        <f t="shared" si="4"/>
        <v>46000</v>
      </c>
      <c r="K15" s="3">
        <f t="shared" si="5"/>
        <v>54280</v>
      </c>
      <c r="L15" s="9">
        <v>0.04</v>
      </c>
      <c r="M15" s="3">
        <f t="shared" si="6"/>
        <v>44160</v>
      </c>
      <c r="N15" s="5">
        <f t="shared" si="7"/>
        <v>52108.800000000003</v>
      </c>
      <c r="O15" s="9">
        <v>0.02</v>
      </c>
      <c r="P15" s="5">
        <f t="shared" si="8"/>
        <v>43276.800000000003</v>
      </c>
      <c r="Q15" s="5">
        <f t="shared" si="9"/>
        <v>51066.624000000003</v>
      </c>
      <c r="AH15" s="2" t="s">
        <v>150</v>
      </c>
    </row>
    <row r="16" spans="1:36" x14ac:dyDescent="0.3">
      <c r="A16" s="1">
        <v>15</v>
      </c>
      <c r="C16" s="2" t="s">
        <v>158</v>
      </c>
      <c r="D16" s="2" t="s">
        <v>157</v>
      </c>
      <c r="E16" s="1" t="s">
        <v>136</v>
      </c>
      <c r="F16" s="3">
        <v>1800000</v>
      </c>
      <c r="G16" s="4">
        <v>0.18</v>
      </c>
      <c r="H16" s="3">
        <f t="shared" si="3"/>
        <v>2124000</v>
      </c>
      <c r="I16" s="9">
        <v>0.06</v>
      </c>
      <c r="J16" s="3">
        <f t="shared" si="4"/>
        <v>1692000</v>
      </c>
      <c r="K16" s="3">
        <f t="shared" si="5"/>
        <v>1996560</v>
      </c>
      <c r="L16" s="9">
        <v>0.03</v>
      </c>
      <c r="M16" s="3">
        <f t="shared" si="6"/>
        <v>1641240</v>
      </c>
      <c r="N16" s="5">
        <f t="shared" si="7"/>
        <v>1936663.2</v>
      </c>
      <c r="O16" s="9">
        <v>0.02</v>
      </c>
      <c r="P16" s="5">
        <f t="shared" si="8"/>
        <v>1608415.2</v>
      </c>
      <c r="Q16" s="5">
        <f t="shared" si="9"/>
        <v>1897929.936</v>
      </c>
      <c r="AH16" s="2" t="s">
        <v>160</v>
      </c>
    </row>
    <row r="17" spans="1:34" x14ac:dyDescent="0.3">
      <c r="A17" s="1">
        <v>16</v>
      </c>
      <c r="C17" s="2" t="s">
        <v>159</v>
      </c>
      <c r="D17" s="2" t="s">
        <v>157</v>
      </c>
      <c r="E17" s="1" t="s">
        <v>136</v>
      </c>
      <c r="F17" s="3">
        <v>2400000</v>
      </c>
      <c r="G17" s="4">
        <v>0.18</v>
      </c>
      <c r="H17" s="3">
        <f t="shared" si="3"/>
        <v>2832000</v>
      </c>
      <c r="I17" s="9">
        <v>0.06</v>
      </c>
      <c r="J17" s="3">
        <f t="shared" si="4"/>
        <v>2256000</v>
      </c>
      <c r="K17" s="3">
        <f t="shared" si="5"/>
        <v>2662080</v>
      </c>
      <c r="L17" s="9">
        <v>0.03</v>
      </c>
      <c r="M17" s="3">
        <f t="shared" si="6"/>
        <v>2188320</v>
      </c>
      <c r="N17" s="5">
        <f t="shared" si="7"/>
        <v>2582217.6</v>
      </c>
      <c r="O17" s="9">
        <v>0.02</v>
      </c>
      <c r="P17" s="5">
        <f t="shared" si="8"/>
        <v>2144553.6</v>
      </c>
      <c r="Q17" s="5">
        <f t="shared" si="9"/>
        <v>2530573.2480000001</v>
      </c>
      <c r="AH17" s="2" t="s">
        <v>160</v>
      </c>
    </row>
    <row r="18" spans="1:34" x14ac:dyDescent="0.3">
      <c r="A18" s="1">
        <v>17</v>
      </c>
      <c r="C18" s="2" t="s">
        <v>5</v>
      </c>
      <c r="D18" s="2" t="s">
        <v>134</v>
      </c>
      <c r="E18" s="1" t="s">
        <v>137</v>
      </c>
      <c r="F18" s="3">
        <v>650</v>
      </c>
      <c r="G18" s="4">
        <v>0.18</v>
      </c>
      <c r="H18" s="3">
        <f>F18+(F18*G18)</f>
        <v>767</v>
      </c>
      <c r="I18" s="9">
        <v>0.2</v>
      </c>
      <c r="J18" s="3">
        <f>F18-(F18*I18)</f>
        <v>520</v>
      </c>
      <c r="K18" s="3">
        <f>J18+(J18*G18)</f>
        <v>613.6</v>
      </c>
      <c r="L18" s="9">
        <v>0.15</v>
      </c>
      <c r="M18" s="3">
        <f>J18-(J18*L18)</f>
        <v>442</v>
      </c>
      <c r="N18" s="5">
        <f>M18+(M18*G18)</f>
        <v>521.55999999999995</v>
      </c>
      <c r="O18" s="9"/>
    </row>
    <row r="19" spans="1:34" x14ac:dyDescent="0.3">
      <c r="A19" s="1">
        <v>18</v>
      </c>
      <c r="C19" s="2" t="s">
        <v>6</v>
      </c>
      <c r="D19" s="2" t="s">
        <v>134</v>
      </c>
      <c r="E19" s="1" t="s">
        <v>137</v>
      </c>
      <c r="F19" s="3">
        <v>1400</v>
      </c>
      <c r="G19" s="4">
        <v>0.18</v>
      </c>
      <c r="H19" s="3">
        <f t="shared" ref="H19:H82" si="36">F19+(F19*G19)</f>
        <v>1652</v>
      </c>
      <c r="I19" s="9">
        <v>0.2</v>
      </c>
      <c r="J19" s="3">
        <f t="shared" ref="J19:J82" si="37">F19-(F19*I19)</f>
        <v>1120</v>
      </c>
      <c r="K19" s="3">
        <f t="shared" ref="K19:K82" si="38">J19+(J19*G19)</f>
        <v>1321.6</v>
      </c>
      <c r="L19" s="9">
        <v>0.15</v>
      </c>
      <c r="M19" s="3">
        <f t="shared" ref="M19:M82" si="39">J19-(J19*L19)</f>
        <v>952</v>
      </c>
      <c r="N19" s="5">
        <f t="shared" ref="N19:N82" si="40">M19+(M19*G19)</f>
        <v>1123.3599999999999</v>
      </c>
      <c r="O19" s="9"/>
    </row>
    <row r="20" spans="1:34" x14ac:dyDescent="0.3">
      <c r="A20" s="1">
        <v>19</v>
      </c>
      <c r="C20" s="2" t="s">
        <v>7</v>
      </c>
      <c r="D20" s="2" t="s">
        <v>134</v>
      </c>
      <c r="E20" s="1" t="s">
        <v>136</v>
      </c>
      <c r="F20" s="3">
        <v>200</v>
      </c>
      <c r="G20" s="4">
        <v>0.12</v>
      </c>
      <c r="H20" s="3">
        <f t="shared" si="36"/>
        <v>224</v>
      </c>
      <c r="I20" s="9">
        <v>0.5</v>
      </c>
      <c r="J20" s="3">
        <f t="shared" si="37"/>
        <v>100</v>
      </c>
      <c r="K20" s="3">
        <f t="shared" si="38"/>
        <v>112</v>
      </c>
      <c r="L20" s="9">
        <v>0.25</v>
      </c>
      <c r="M20" s="3">
        <f t="shared" si="39"/>
        <v>75</v>
      </c>
      <c r="N20" s="5">
        <f t="shared" si="40"/>
        <v>84</v>
      </c>
      <c r="O20" s="9"/>
    </row>
    <row r="21" spans="1:34" x14ac:dyDescent="0.3">
      <c r="A21" s="1">
        <v>20</v>
      </c>
      <c r="C21" s="2" t="s">
        <v>8</v>
      </c>
      <c r="D21" s="2" t="s">
        <v>134</v>
      </c>
      <c r="E21" s="1" t="s">
        <v>136</v>
      </c>
      <c r="F21" s="3">
        <v>10</v>
      </c>
      <c r="G21" s="4">
        <v>0.12</v>
      </c>
      <c r="H21" s="3">
        <f t="shared" si="36"/>
        <v>11.2</v>
      </c>
      <c r="I21" s="9">
        <v>0.2</v>
      </c>
      <c r="J21" s="3">
        <f t="shared" si="37"/>
        <v>8</v>
      </c>
      <c r="K21" s="3">
        <f t="shared" si="38"/>
        <v>8.9600000000000009</v>
      </c>
      <c r="L21" s="9">
        <v>0.15</v>
      </c>
      <c r="M21" s="3">
        <f t="shared" si="39"/>
        <v>6.8</v>
      </c>
      <c r="N21" s="5">
        <f t="shared" si="40"/>
        <v>7.6159999999999997</v>
      </c>
      <c r="O21" s="9"/>
    </row>
    <row r="22" spans="1:34" x14ac:dyDescent="0.3">
      <c r="A22" s="1">
        <v>21</v>
      </c>
      <c r="C22" s="2" t="s">
        <v>9</v>
      </c>
      <c r="D22" s="2" t="s">
        <v>134</v>
      </c>
      <c r="E22" s="1" t="s">
        <v>136</v>
      </c>
      <c r="F22" s="3">
        <v>10</v>
      </c>
      <c r="G22" s="4">
        <v>0.12</v>
      </c>
      <c r="H22" s="3">
        <f t="shared" si="36"/>
        <v>11.2</v>
      </c>
      <c r="I22" s="9">
        <v>0.2</v>
      </c>
      <c r="J22" s="3">
        <f t="shared" si="37"/>
        <v>8</v>
      </c>
      <c r="K22" s="3">
        <f t="shared" si="38"/>
        <v>8.9600000000000009</v>
      </c>
      <c r="L22" s="9">
        <v>0.15</v>
      </c>
      <c r="M22" s="3">
        <f t="shared" si="39"/>
        <v>6.8</v>
      </c>
      <c r="N22" s="5">
        <f t="shared" si="40"/>
        <v>7.6159999999999997</v>
      </c>
      <c r="O22" s="9"/>
    </row>
    <row r="23" spans="1:34" x14ac:dyDescent="0.3">
      <c r="A23" s="1">
        <v>22</v>
      </c>
      <c r="C23" s="2" t="s">
        <v>10</v>
      </c>
      <c r="D23" s="2" t="s">
        <v>134</v>
      </c>
      <c r="E23" s="1" t="s">
        <v>136</v>
      </c>
      <c r="F23" s="3">
        <v>16890</v>
      </c>
      <c r="G23" s="4">
        <v>0.12</v>
      </c>
      <c r="H23" s="3">
        <f t="shared" si="36"/>
        <v>18916.8</v>
      </c>
      <c r="I23" s="9">
        <v>0.4</v>
      </c>
      <c r="J23" s="3">
        <f t="shared" si="37"/>
        <v>10134</v>
      </c>
      <c r="K23" s="3">
        <f t="shared" si="38"/>
        <v>11350.08</v>
      </c>
      <c r="L23" s="9">
        <v>0.15</v>
      </c>
      <c r="M23" s="3">
        <f t="shared" si="39"/>
        <v>8613.9</v>
      </c>
      <c r="N23" s="5">
        <f t="shared" si="40"/>
        <v>9647.5679999999993</v>
      </c>
      <c r="O23" s="9"/>
    </row>
    <row r="24" spans="1:34" x14ac:dyDescent="0.3">
      <c r="A24" s="1">
        <v>23</v>
      </c>
      <c r="C24" s="2" t="s">
        <v>11</v>
      </c>
      <c r="D24" s="2" t="s">
        <v>134</v>
      </c>
      <c r="E24" s="1" t="s">
        <v>136</v>
      </c>
      <c r="F24" s="3">
        <v>17790</v>
      </c>
      <c r="G24" s="4">
        <v>0.12</v>
      </c>
      <c r="H24" s="3">
        <f t="shared" si="36"/>
        <v>19924.8</v>
      </c>
      <c r="I24" s="9">
        <v>0.4</v>
      </c>
      <c r="J24" s="3">
        <f t="shared" si="37"/>
        <v>10674</v>
      </c>
      <c r="K24" s="3">
        <f t="shared" si="38"/>
        <v>11954.88</v>
      </c>
      <c r="L24" s="9">
        <v>0.15</v>
      </c>
      <c r="M24" s="3">
        <f t="shared" si="39"/>
        <v>9072.9</v>
      </c>
      <c r="N24" s="5">
        <f t="shared" si="40"/>
        <v>10161.647999999999</v>
      </c>
      <c r="O24" s="9"/>
    </row>
    <row r="25" spans="1:34" x14ac:dyDescent="0.3">
      <c r="A25" s="1">
        <v>24</v>
      </c>
      <c r="C25" s="2" t="s">
        <v>12</v>
      </c>
      <c r="D25" s="2" t="s">
        <v>134</v>
      </c>
      <c r="E25" s="1" t="s">
        <v>136</v>
      </c>
      <c r="F25" s="3">
        <v>19200</v>
      </c>
      <c r="G25" s="4">
        <v>0.12</v>
      </c>
      <c r="H25" s="3">
        <f t="shared" si="36"/>
        <v>21504</v>
      </c>
      <c r="I25" s="9">
        <v>0.4</v>
      </c>
      <c r="J25" s="3">
        <f t="shared" si="37"/>
        <v>11520</v>
      </c>
      <c r="K25" s="3">
        <f t="shared" si="38"/>
        <v>12902.4</v>
      </c>
      <c r="L25" s="9">
        <v>0.15</v>
      </c>
      <c r="M25" s="3">
        <f t="shared" si="39"/>
        <v>9792</v>
      </c>
      <c r="N25" s="5">
        <f t="shared" si="40"/>
        <v>10967.04</v>
      </c>
      <c r="O25" s="9"/>
    </row>
    <row r="26" spans="1:34" x14ac:dyDescent="0.3">
      <c r="A26" s="1">
        <v>25</v>
      </c>
      <c r="C26" s="2" t="s">
        <v>13</v>
      </c>
      <c r="D26" s="2" t="s">
        <v>134</v>
      </c>
      <c r="E26" s="1" t="s">
        <v>136</v>
      </c>
      <c r="F26" s="3">
        <v>22050</v>
      </c>
      <c r="G26" s="4">
        <v>0.12</v>
      </c>
      <c r="H26" s="3">
        <f t="shared" si="36"/>
        <v>24696</v>
      </c>
      <c r="I26" s="9">
        <v>0.4</v>
      </c>
      <c r="J26" s="3">
        <f t="shared" si="37"/>
        <v>13230</v>
      </c>
      <c r="K26" s="3">
        <f t="shared" si="38"/>
        <v>14817.6</v>
      </c>
      <c r="L26" s="9">
        <v>0.15</v>
      </c>
      <c r="M26" s="3">
        <f t="shared" si="39"/>
        <v>11245.5</v>
      </c>
      <c r="N26" s="5">
        <f t="shared" si="40"/>
        <v>12594.96</v>
      </c>
      <c r="O26" s="9"/>
    </row>
    <row r="27" spans="1:34" x14ac:dyDescent="0.3">
      <c r="A27" s="1">
        <v>26</v>
      </c>
      <c r="C27" s="2" t="s">
        <v>14</v>
      </c>
      <c r="D27" s="2" t="s">
        <v>134</v>
      </c>
      <c r="E27" s="1" t="s">
        <v>136</v>
      </c>
      <c r="F27" s="3">
        <v>30450</v>
      </c>
      <c r="G27" s="4">
        <v>0.12</v>
      </c>
      <c r="H27" s="3">
        <f t="shared" si="36"/>
        <v>34104</v>
      </c>
      <c r="I27" s="9">
        <v>0.4</v>
      </c>
      <c r="J27" s="3">
        <f t="shared" si="37"/>
        <v>18270</v>
      </c>
      <c r="K27" s="3">
        <f t="shared" si="38"/>
        <v>20462.400000000001</v>
      </c>
      <c r="L27" s="9">
        <v>0.15</v>
      </c>
      <c r="M27" s="3">
        <f t="shared" si="39"/>
        <v>15529.5</v>
      </c>
      <c r="N27" s="5">
        <f t="shared" si="40"/>
        <v>17393.04</v>
      </c>
      <c r="O27" s="9"/>
    </row>
    <row r="28" spans="1:34" x14ac:dyDescent="0.3">
      <c r="A28" s="1">
        <v>27</v>
      </c>
      <c r="C28" s="2" t="s">
        <v>15</v>
      </c>
      <c r="D28" s="2" t="s">
        <v>134</v>
      </c>
      <c r="E28" s="1" t="s">
        <v>136</v>
      </c>
      <c r="F28" s="3">
        <v>32700</v>
      </c>
      <c r="G28" s="4">
        <v>0.12</v>
      </c>
      <c r="H28" s="3">
        <f t="shared" si="36"/>
        <v>36624</v>
      </c>
      <c r="I28" s="9">
        <v>0.4</v>
      </c>
      <c r="J28" s="3">
        <f t="shared" si="37"/>
        <v>19620</v>
      </c>
      <c r="K28" s="3">
        <f t="shared" si="38"/>
        <v>21974.400000000001</v>
      </c>
      <c r="L28" s="9">
        <v>0.15</v>
      </c>
      <c r="M28" s="3">
        <f t="shared" si="39"/>
        <v>16677</v>
      </c>
      <c r="N28" s="5">
        <f t="shared" si="40"/>
        <v>18678.240000000002</v>
      </c>
      <c r="O28" s="9"/>
    </row>
    <row r="29" spans="1:34" x14ac:dyDescent="0.3">
      <c r="A29" s="1">
        <v>28</v>
      </c>
      <c r="C29" s="2" t="s">
        <v>16</v>
      </c>
      <c r="D29" s="2" t="s">
        <v>134</v>
      </c>
      <c r="E29" s="1" t="s">
        <v>136</v>
      </c>
      <c r="F29" s="3">
        <v>11820</v>
      </c>
      <c r="G29" s="4">
        <v>0.12</v>
      </c>
      <c r="H29" s="3">
        <f t="shared" si="36"/>
        <v>13238.4</v>
      </c>
      <c r="I29" s="9">
        <v>0.4</v>
      </c>
      <c r="J29" s="3">
        <f t="shared" si="37"/>
        <v>7092</v>
      </c>
      <c r="K29" s="3">
        <f t="shared" si="38"/>
        <v>7943.04</v>
      </c>
      <c r="L29" s="9">
        <v>0.15</v>
      </c>
      <c r="M29" s="3">
        <f t="shared" si="39"/>
        <v>6028.2</v>
      </c>
      <c r="N29" s="5">
        <f t="shared" si="40"/>
        <v>6751.5839999999998</v>
      </c>
      <c r="O29" s="9"/>
    </row>
    <row r="30" spans="1:34" x14ac:dyDescent="0.3">
      <c r="A30" s="1">
        <v>29</v>
      </c>
      <c r="C30" s="2" t="s">
        <v>17</v>
      </c>
      <c r="D30" s="2" t="s">
        <v>134</v>
      </c>
      <c r="E30" s="1" t="s">
        <v>136</v>
      </c>
      <c r="F30" s="3">
        <v>12450</v>
      </c>
      <c r="G30" s="4">
        <v>0.12</v>
      </c>
      <c r="H30" s="3">
        <f t="shared" si="36"/>
        <v>13944</v>
      </c>
      <c r="I30" s="9">
        <v>0.4</v>
      </c>
      <c r="J30" s="3">
        <f t="shared" si="37"/>
        <v>7470</v>
      </c>
      <c r="K30" s="3">
        <f t="shared" si="38"/>
        <v>8366.4</v>
      </c>
      <c r="L30" s="9">
        <v>0.15</v>
      </c>
      <c r="M30" s="3">
        <f t="shared" si="39"/>
        <v>6349.5</v>
      </c>
      <c r="N30" s="5">
        <f t="shared" si="40"/>
        <v>7111.44</v>
      </c>
      <c r="O30" s="9"/>
    </row>
    <row r="31" spans="1:34" x14ac:dyDescent="0.3">
      <c r="A31" s="1">
        <v>30</v>
      </c>
      <c r="C31" s="2" t="s">
        <v>18</v>
      </c>
      <c r="D31" s="2" t="s">
        <v>134</v>
      </c>
      <c r="E31" s="1" t="s">
        <v>136</v>
      </c>
      <c r="F31" s="3">
        <v>13440</v>
      </c>
      <c r="G31" s="4">
        <v>0.12</v>
      </c>
      <c r="H31" s="3">
        <f t="shared" si="36"/>
        <v>15052.8</v>
      </c>
      <c r="I31" s="9">
        <v>0.4</v>
      </c>
      <c r="J31" s="3">
        <f t="shared" si="37"/>
        <v>8064</v>
      </c>
      <c r="K31" s="3">
        <f t="shared" si="38"/>
        <v>9031.68</v>
      </c>
      <c r="L31" s="9">
        <v>0.15</v>
      </c>
      <c r="M31" s="3">
        <f t="shared" si="39"/>
        <v>6854.4</v>
      </c>
      <c r="N31" s="5">
        <f t="shared" si="40"/>
        <v>7676.9279999999999</v>
      </c>
      <c r="O31" s="9"/>
    </row>
    <row r="32" spans="1:34" x14ac:dyDescent="0.3">
      <c r="A32" s="1">
        <v>31</v>
      </c>
      <c r="C32" s="2" t="s">
        <v>19</v>
      </c>
      <c r="D32" s="2" t="s">
        <v>134</v>
      </c>
      <c r="E32" s="1" t="s">
        <v>136</v>
      </c>
      <c r="F32" s="3">
        <v>15240</v>
      </c>
      <c r="G32" s="4">
        <v>0.12</v>
      </c>
      <c r="H32" s="3">
        <f t="shared" si="36"/>
        <v>17068.8</v>
      </c>
      <c r="I32" s="9">
        <v>0.4</v>
      </c>
      <c r="J32" s="3">
        <f t="shared" si="37"/>
        <v>9144</v>
      </c>
      <c r="K32" s="3">
        <f t="shared" si="38"/>
        <v>10241.280000000001</v>
      </c>
      <c r="L32" s="9">
        <v>0.15</v>
      </c>
      <c r="M32" s="3">
        <f t="shared" si="39"/>
        <v>7772.4</v>
      </c>
      <c r="N32" s="5">
        <f t="shared" si="40"/>
        <v>8705.0879999999997</v>
      </c>
      <c r="O32" s="9"/>
    </row>
    <row r="33" spans="1:15" x14ac:dyDescent="0.3">
      <c r="A33" s="1">
        <v>32</v>
      </c>
      <c r="C33" s="2" t="s">
        <v>20</v>
      </c>
      <c r="D33" s="2" t="s">
        <v>134</v>
      </c>
      <c r="E33" s="1" t="s">
        <v>136</v>
      </c>
      <c r="F33" s="3">
        <v>20910</v>
      </c>
      <c r="G33" s="4">
        <v>0.12</v>
      </c>
      <c r="H33" s="3">
        <f t="shared" si="36"/>
        <v>23419.200000000001</v>
      </c>
      <c r="I33" s="9">
        <v>0.4</v>
      </c>
      <c r="J33" s="3">
        <f t="shared" si="37"/>
        <v>12546</v>
      </c>
      <c r="K33" s="3">
        <f t="shared" si="38"/>
        <v>14051.52</v>
      </c>
      <c r="L33" s="9">
        <v>0.15</v>
      </c>
      <c r="M33" s="3">
        <f t="shared" si="39"/>
        <v>10664.1</v>
      </c>
      <c r="N33" s="5">
        <f t="shared" si="40"/>
        <v>11943.792000000001</v>
      </c>
      <c r="O33" s="9"/>
    </row>
    <row r="34" spans="1:15" x14ac:dyDescent="0.3">
      <c r="A34" s="1">
        <v>33</v>
      </c>
      <c r="C34" s="2" t="s">
        <v>21</v>
      </c>
      <c r="D34" s="2" t="s">
        <v>134</v>
      </c>
      <c r="E34" s="1" t="s">
        <v>136</v>
      </c>
      <c r="F34" s="3">
        <v>22500</v>
      </c>
      <c r="G34" s="4">
        <v>0.12</v>
      </c>
      <c r="H34" s="3">
        <f t="shared" si="36"/>
        <v>25200</v>
      </c>
      <c r="I34" s="9">
        <v>0.4</v>
      </c>
      <c r="J34" s="3">
        <f t="shared" si="37"/>
        <v>13500</v>
      </c>
      <c r="K34" s="3">
        <f t="shared" si="38"/>
        <v>15120</v>
      </c>
      <c r="L34" s="9">
        <v>0.15</v>
      </c>
      <c r="M34" s="3">
        <f t="shared" si="39"/>
        <v>11475</v>
      </c>
      <c r="N34" s="5">
        <f t="shared" si="40"/>
        <v>12852</v>
      </c>
      <c r="O34" s="9"/>
    </row>
    <row r="35" spans="1:15" x14ac:dyDescent="0.3">
      <c r="A35" s="1">
        <v>34</v>
      </c>
      <c r="C35" s="2" t="s">
        <v>22</v>
      </c>
      <c r="D35" s="2" t="s">
        <v>134</v>
      </c>
      <c r="E35" s="1" t="s">
        <v>136</v>
      </c>
      <c r="F35" s="3">
        <v>16890</v>
      </c>
      <c r="G35" s="4">
        <v>0.12</v>
      </c>
      <c r="H35" s="3">
        <f t="shared" si="36"/>
        <v>18916.8</v>
      </c>
      <c r="I35" s="9">
        <v>0.4</v>
      </c>
      <c r="J35" s="3">
        <f t="shared" si="37"/>
        <v>10134</v>
      </c>
      <c r="K35" s="3">
        <f t="shared" si="38"/>
        <v>11350.08</v>
      </c>
      <c r="L35" s="9">
        <v>0.15</v>
      </c>
      <c r="M35" s="3">
        <f t="shared" si="39"/>
        <v>8613.9</v>
      </c>
      <c r="N35" s="5">
        <f t="shared" si="40"/>
        <v>9647.5679999999993</v>
      </c>
      <c r="O35" s="9"/>
    </row>
    <row r="36" spans="1:15" x14ac:dyDescent="0.3">
      <c r="A36" s="1">
        <v>35</v>
      </c>
      <c r="C36" s="2" t="s">
        <v>23</v>
      </c>
      <c r="D36" s="2" t="s">
        <v>134</v>
      </c>
      <c r="E36" s="1" t="s">
        <v>136</v>
      </c>
      <c r="F36" s="3">
        <v>17790</v>
      </c>
      <c r="G36" s="4">
        <v>0.12</v>
      </c>
      <c r="H36" s="3">
        <f t="shared" si="36"/>
        <v>19924.8</v>
      </c>
      <c r="I36" s="9">
        <v>0.4</v>
      </c>
      <c r="J36" s="3">
        <f t="shared" si="37"/>
        <v>10674</v>
      </c>
      <c r="K36" s="3">
        <f t="shared" si="38"/>
        <v>11954.88</v>
      </c>
      <c r="L36" s="9">
        <v>0.15</v>
      </c>
      <c r="M36" s="3">
        <f t="shared" si="39"/>
        <v>9072.9</v>
      </c>
      <c r="N36" s="5">
        <f t="shared" si="40"/>
        <v>10161.647999999999</v>
      </c>
      <c r="O36" s="9"/>
    </row>
    <row r="37" spans="1:15" x14ac:dyDescent="0.3">
      <c r="A37" s="1">
        <v>36</v>
      </c>
      <c r="C37" s="2" t="s">
        <v>24</v>
      </c>
      <c r="D37" s="2" t="s">
        <v>134</v>
      </c>
      <c r="E37" s="1" t="s">
        <v>136</v>
      </c>
      <c r="F37" s="3">
        <v>19200</v>
      </c>
      <c r="G37" s="4">
        <v>0.12</v>
      </c>
      <c r="H37" s="3">
        <f t="shared" si="36"/>
        <v>21504</v>
      </c>
      <c r="I37" s="9">
        <v>0.4</v>
      </c>
      <c r="J37" s="3">
        <f t="shared" si="37"/>
        <v>11520</v>
      </c>
      <c r="K37" s="3">
        <f t="shared" si="38"/>
        <v>12902.4</v>
      </c>
      <c r="L37" s="9">
        <v>0.15</v>
      </c>
      <c r="M37" s="3">
        <f t="shared" si="39"/>
        <v>9792</v>
      </c>
      <c r="N37" s="5">
        <f t="shared" si="40"/>
        <v>10967.04</v>
      </c>
      <c r="O37" s="9"/>
    </row>
    <row r="38" spans="1:15" x14ac:dyDescent="0.3">
      <c r="A38" s="1">
        <v>37</v>
      </c>
      <c r="C38" s="2" t="s">
        <v>25</v>
      </c>
      <c r="D38" s="2" t="s">
        <v>134</v>
      </c>
      <c r="E38" s="1" t="s">
        <v>136</v>
      </c>
      <c r="F38" s="3">
        <v>22050</v>
      </c>
      <c r="G38" s="4">
        <v>0.12</v>
      </c>
      <c r="H38" s="3">
        <f t="shared" si="36"/>
        <v>24696</v>
      </c>
      <c r="I38" s="9">
        <v>0.4</v>
      </c>
      <c r="J38" s="3">
        <f t="shared" si="37"/>
        <v>13230</v>
      </c>
      <c r="K38" s="3">
        <f t="shared" si="38"/>
        <v>14817.6</v>
      </c>
      <c r="L38" s="9">
        <v>0.15</v>
      </c>
      <c r="M38" s="3">
        <f t="shared" si="39"/>
        <v>11245.5</v>
      </c>
      <c r="N38" s="5">
        <f t="shared" si="40"/>
        <v>12594.96</v>
      </c>
      <c r="O38" s="9"/>
    </row>
    <row r="39" spans="1:15" x14ac:dyDescent="0.3">
      <c r="A39" s="1">
        <v>38</v>
      </c>
      <c r="C39" s="2" t="s">
        <v>26</v>
      </c>
      <c r="D39" s="2" t="s">
        <v>134</v>
      </c>
      <c r="E39" s="1" t="s">
        <v>136</v>
      </c>
      <c r="F39" s="3">
        <v>30450</v>
      </c>
      <c r="G39" s="4">
        <v>0.12</v>
      </c>
      <c r="H39" s="3">
        <f t="shared" si="36"/>
        <v>34104</v>
      </c>
      <c r="I39" s="9">
        <v>0.4</v>
      </c>
      <c r="J39" s="3">
        <f t="shared" si="37"/>
        <v>18270</v>
      </c>
      <c r="K39" s="3">
        <f t="shared" si="38"/>
        <v>20462.400000000001</v>
      </c>
      <c r="L39" s="9">
        <v>0.15</v>
      </c>
      <c r="M39" s="3">
        <f t="shared" si="39"/>
        <v>15529.5</v>
      </c>
      <c r="N39" s="5">
        <f t="shared" si="40"/>
        <v>17393.04</v>
      </c>
      <c r="O39" s="9"/>
    </row>
    <row r="40" spans="1:15" x14ac:dyDescent="0.3">
      <c r="A40" s="1">
        <v>39</v>
      </c>
      <c r="C40" s="2" t="s">
        <v>27</v>
      </c>
      <c r="D40" s="2" t="s">
        <v>134</v>
      </c>
      <c r="E40" s="1" t="s">
        <v>136</v>
      </c>
      <c r="F40" s="3">
        <v>32700</v>
      </c>
      <c r="G40" s="4">
        <v>0.12</v>
      </c>
      <c r="H40" s="3">
        <f t="shared" si="36"/>
        <v>36624</v>
      </c>
      <c r="I40" s="9">
        <v>0.4</v>
      </c>
      <c r="J40" s="3">
        <f t="shared" si="37"/>
        <v>19620</v>
      </c>
      <c r="K40" s="3">
        <f t="shared" si="38"/>
        <v>21974.400000000001</v>
      </c>
      <c r="L40" s="9">
        <v>0.15</v>
      </c>
      <c r="M40" s="3">
        <f t="shared" si="39"/>
        <v>16677</v>
      </c>
      <c r="N40" s="5">
        <f t="shared" si="40"/>
        <v>18678.240000000002</v>
      </c>
      <c r="O40" s="9"/>
    </row>
    <row r="41" spans="1:15" x14ac:dyDescent="0.3">
      <c r="A41" s="1">
        <v>40</v>
      </c>
      <c r="C41" s="2" t="s">
        <v>28</v>
      </c>
      <c r="D41" s="2" t="s">
        <v>134</v>
      </c>
      <c r="E41" s="1" t="s">
        <v>136</v>
      </c>
      <c r="F41" s="3">
        <v>11820</v>
      </c>
      <c r="G41" s="4">
        <v>0.12</v>
      </c>
      <c r="H41" s="3">
        <f t="shared" si="36"/>
        <v>13238.4</v>
      </c>
      <c r="I41" s="9">
        <v>0.4</v>
      </c>
      <c r="J41" s="3">
        <f t="shared" si="37"/>
        <v>7092</v>
      </c>
      <c r="K41" s="3">
        <f t="shared" si="38"/>
        <v>7943.04</v>
      </c>
      <c r="L41" s="9">
        <v>0.15</v>
      </c>
      <c r="M41" s="3">
        <f t="shared" si="39"/>
        <v>6028.2</v>
      </c>
      <c r="N41" s="5">
        <f t="shared" si="40"/>
        <v>6751.5839999999998</v>
      </c>
      <c r="O41" s="9"/>
    </row>
    <row r="42" spans="1:15" x14ac:dyDescent="0.3">
      <c r="A42" s="1">
        <v>41</v>
      </c>
      <c r="C42" s="2" t="s">
        <v>29</v>
      </c>
      <c r="D42" s="2" t="s">
        <v>134</v>
      </c>
      <c r="E42" s="1" t="s">
        <v>136</v>
      </c>
      <c r="F42" s="3">
        <v>12450</v>
      </c>
      <c r="G42" s="4">
        <v>0.12</v>
      </c>
      <c r="H42" s="3">
        <f t="shared" si="36"/>
        <v>13944</v>
      </c>
      <c r="I42" s="9">
        <v>0.4</v>
      </c>
      <c r="J42" s="3">
        <f t="shared" si="37"/>
        <v>7470</v>
      </c>
      <c r="K42" s="3">
        <f t="shared" si="38"/>
        <v>8366.4</v>
      </c>
      <c r="L42" s="9">
        <v>0.15</v>
      </c>
      <c r="M42" s="3">
        <f t="shared" si="39"/>
        <v>6349.5</v>
      </c>
      <c r="N42" s="5">
        <f t="shared" si="40"/>
        <v>7111.44</v>
      </c>
      <c r="O42" s="9"/>
    </row>
    <row r="43" spans="1:15" x14ac:dyDescent="0.3">
      <c r="A43" s="1">
        <v>42</v>
      </c>
      <c r="C43" s="2" t="s">
        <v>30</v>
      </c>
      <c r="D43" s="2" t="s">
        <v>134</v>
      </c>
      <c r="E43" s="1" t="s">
        <v>136</v>
      </c>
      <c r="F43" s="3">
        <v>13440</v>
      </c>
      <c r="G43" s="4">
        <v>0.12</v>
      </c>
      <c r="H43" s="3">
        <f t="shared" si="36"/>
        <v>15052.8</v>
      </c>
      <c r="I43" s="9">
        <v>0.4</v>
      </c>
      <c r="J43" s="3">
        <f t="shared" si="37"/>
        <v>8064</v>
      </c>
      <c r="K43" s="3">
        <f t="shared" si="38"/>
        <v>9031.68</v>
      </c>
      <c r="L43" s="9">
        <v>0.15</v>
      </c>
      <c r="M43" s="3">
        <f t="shared" si="39"/>
        <v>6854.4</v>
      </c>
      <c r="N43" s="5">
        <f t="shared" si="40"/>
        <v>7676.9279999999999</v>
      </c>
      <c r="O43" s="9"/>
    </row>
    <row r="44" spans="1:15" x14ac:dyDescent="0.3">
      <c r="A44" s="1">
        <v>43</v>
      </c>
      <c r="C44" s="2" t="s">
        <v>31</v>
      </c>
      <c r="D44" s="2" t="s">
        <v>134</v>
      </c>
      <c r="E44" s="1" t="s">
        <v>136</v>
      </c>
      <c r="F44" s="3">
        <v>15240</v>
      </c>
      <c r="G44" s="4">
        <v>0.12</v>
      </c>
      <c r="H44" s="3">
        <f t="shared" si="36"/>
        <v>17068.8</v>
      </c>
      <c r="I44" s="9">
        <v>0.4</v>
      </c>
      <c r="J44" s="3">
        <f t="shared" si="37"/>
        <v>9144</v>
      </c>
      <c r="K44" s="3">
        <f t="shared" si="38"/>
        <v>10241.280000000001</v>
      </c>
      <c r="L44" s="9">
        <v>0.15</v>
      </c>
      <c r="M44" s="3">
        <f t="shared" si="39"/>
        <v>7772.4</v>
      </c>
      <c r="N44" s="5">
        <f t="shared" si="40"/>
        <v>8705.0879999999997</v>
      </c>
      <c r="O44" s="9"/>
    </row>
    <row r="45" spans="1:15" x14ac:dyDescent="0.3">
      <c r="A45" s="1">
        <v>44</v>
      </c>
      <c r="C45" s="2" t="s">
        <v>32</v>
      </c>
      <c r="D45" s="2" t="s">
        <v>134</v>
      </c>
      <c r="E45" s="1" t="s">
        <v>136</v>
      </c>
      <c r="F45" s="3">
        <v>20910</v>
      </c>
      <c r="G45" s="4">
        <v>0.12</v>
      </c>
      <c r="H45" s="3">
        <f t="shared" si="36"/>
        <v>23419.200000000001</v>
      </c>
      <c r="I45" s="9">
        <v>0.4</v>
      </c>
      <c r="J45" s="3">
        <f t="shared" si="37"/>
        <v>12546</v>
      </c>
      <c r="K45" s="3">
        <f t="shared" si="38"/>
        <v>14051.52</v>
      </c>
      <c r="L45" s="9">
        <v>0.15</v>
      </c>
      <c r="M45" s="3">
        <f t="shared" si="39"/>
        <v>10664.1</v>
      </c>
      <c r="N45" s="5">
        <f t="shared" si="40"/>
        <v>11943.792000000001</v>
      </c>
      <c r="O45" s="9"/>
    </row>
    <row r="46" spans="1:15" x14ac:dyDescent="0.3">
      <c r="A46" s="1">
        <v>45</v>
      </c>
      <c r="C46" s="2" t="s">
        <v>33</v>
      </c>
      <c r="D46" s="2" t="s">
        <v>134</v>
      </c>
      <c r="E46" s="1" t="s">
        <v>136</v>
      </c>
      <c r="F46" s="3">
        <v>22500</v>
      </c>
      <c r="G46" s="4">
        <v>0.12</v>
      </c>
      <c r="H46" s="3">
        <f t="shared" si="36"/>
        <v>25200</v>
      </c>
      <c r="I46" s="9">
        <v>0.4</v>
      </c>
      <c r="J46" s="3">
        <f t="shared" si="37"/>
        <v>13500</v>
      </c>
      <c r="K46" s="3">
        <f t="shared" si="38"/>
        <v>15120</v>
      </c>
      <c r="L46" s="9">
        <v>0.15</v>
      </c>
      <c r="M46" s="3">
        <f t="shared" si="39"/>
        <v>11475</v>
      </c>
      <c r="N46" s="5">
        <f t="shared" si="40"/>
        <v>12852</v>
      </c>
      <c r="O46" s="9"/>
    </row>
    <row r="47" spans="1:15" x14ac:dyDescent="0.3">
      <c r="A47" s="1">
        <v>46</v>
      </c>
      <c r="C47" s="2" t="s">
        <v>34</v>
      </c>
      <c r="D47" s="2" t="s">
        <v>134</v>
      </c>
      <c r="E47" s="1" t="s">
        <v>136</v>
      </c>
      <c r="F47" s="3">
        <v>19410</v>
      </c>
      <c r="G47" s="4">
        <v>0.12</v>
      </c>
      <c r="H47" s="3">
        <f t="shared" si="36"/>
        <v>21739.200000000001</v>
      </c>
      <c r="I47" s="9">
        <v>0.4</v>
      </c>
      <c r="J47" s="3">
        <f t="shared" si="37"/>
        <v>11646</v>
      </c>
      <c r="K47" s="3">
        <f t="shared" si="38"/>
        <v>13043.52</v>
      </c>
      <c r="L47" s="9">
        <v>0.15</v>
      </c>
      <c r="M47" s="3">
        <f t="shared" si="39"/>
        <v>9899.1</v>
      </c>
      <c r="N47" s="5">
        <f t="shared" si="40"/>
        <v>11086.992</v>
      </c>
      <c r="O47" s="9"/>
    </row>
    <row r="48" spans="1:15" x14ac:dyDescent="0.3">
      <c r="A48" s="1">
        <v>47</v>
      </c>
      <c r="C48" s="2" t="s">
        <v>35</v>
      </c>
      <c r="D48" s="2" t="s">
        <v>134</v>
      </c>
      <c r="E48" s="1" t="s">
        <v>136</v>
      </c>
      <c r="F48" s="3">
        <v>20460</v>
      </c>
      <c r="G48" s="4">
        <v>0.12</v>
      </c>
      <c r="H48" s="3">
        <f t="shared" si="36"/>
        <v>22915.200000000001</v>
      </c>
      <c r="I48" s="9">
        <v>0.4</v>
      </c>
      <c r="J48" s="3">
        <f t="shared" si="37"/>
        <v>12276</v>
      </c>
      <c r="K48" s="3">
        <f t="shared" si="38"/>
        <v>13749.119999999999</v>
      </c>
      <c r="L48" s="9">
        <v>0.15</v>
      </c>
      <c r="M48" s="3">
        <f t="shared" si="39"/>
        <v>10434.6</v>
      </c>
      <c r="N48" s="5">
        <f t="shared" si="40"/>
        <v>11686.752</v>
      </c>
      <c r="O48" s="9"/>
    </row>
    <row r="49" spans="1:15" x14ac:dyDescent="0.3">
      <c r="A49" s="1">
        <v>48</v>
      </c>
      <c r="C49" s="2" t="s">
        <v>36</v>
      </c>
      <c r="D49" s="2" t="s">
        <v>134</v>
      </c>
      <c r="E49" s="1" t="s">
        <v>136</v>
      </c>
      <c r="F49" s="3">
        <v>22080</v>
      </c>
      <c r="G49" s="4">
        <v>0.12</v>
      </c>
      <c r="H49" s="3">
        <f t="shared" si="36"/>
        <v>24729.599999999999</v>
      </c>
      <c r="I49" s="9">
        <v>0.4</v>
      </c>
      <c r="J49" s="3">
        <f t="shared" si="37"/>
        <v>13248</v>
      </c>
      <c r="K49" s="3">
        <f t="shared" si="38"/>
        <v>14837.76</v>
      </c>
      <c r="L49" s="9">
        <v>0.15</v>
      </c>
      <c r="M49" s="3">
        <f t="shared" si="39"/>
        <v>11260.8</v>
      </c>
      <c r="N49" s="5">
        <f t="shared" si="40"/>
        <v>12612.096</v>
      </c>
      <c r="O49" s="9"/>
    </row>
    <row r="50" spans="1:15" x14ac:dyDescent="0.3">
      <c r="A50" s="1">
        <v>49</v>
      </c>
      <c r="C50" s="2" t="s">
        <v>37</v>
      </c>
      <c r="D50" s="2" t="s">
        <v>134</v>
      </c>
      <c r="E50" s="1" t="s">
        <v>136</v>
      </c>
      <c r="F50" s="3">
        <v>25350</v>
      </c>
      <c r="G50" s="4">
        <v>0.12</v>
      </c>
      <c r="H50" s="3">
        <f t="shared" si="36"/>
        <v>28392</v>
      </c>
      <c r="I50" s="9">
        <v>0.4</v>
      </c>
      <c r="J50" s="3">
        <f t="shared" si="37"/>
        <v>15210</v>
      </c>
      <c r="K50" s="3">
        <f t="shared" si="38"/>
        <v>17035.2</v>
      </c>
      <c r="L50" s="9">
        <v>0.15</v>
      </c>
      <c r="M50" s="3">
        <f t="shared" si="39"/>
        <v>12928.5</v>
      </c>
      <c r="N50" s="5">
        <f t="shared" si="40"/>
        <v>14479.92</v>
      </c>
      <c r="O50" s="9"/>
    </row>
    <row r="51" spans="1:15" x14ac:dyDescent="0.3">
      <c r="A51" s="1">
        <v>50</v>
      </c>
      <c r="C51" s="2" t="s">
        <v>38</v>
      </c>
      <c r="D51" s="2" t="s">
        <v>134</v>
      </c>
      <c r="E51" s="1" t="s">
        <v>136</v>
      </c>
      <c r="F51" s="3">
        <v>35010</v>
      </c>
      <c r="G51" s="4">
        <v>0.12</v>
      </c>
      <c r="H51" s="3">
        <f t="shared" si="36"/>
        <v>39211.199999999997</v>
      </c>
      <c r="I51" s="9">
        <v>0.4</v>
      </c>
      <c r="J51" s="3">
        <f t="shared" si="37"/>
        <v>21006</v>
      </c>
      <c r="K51" s="3">
        <f t="shared" si="38"/>
        <v>23526.720000000001</v>
      </c>
      <c r="L51" s="9">
        <v>0.15</v>
      </c>
      <c r="M51" s="3">
        <f t="shared" si="39"/>
        <v>17855.099999999999</v>
      </c>
      <c r="N51" s="5">
        <f t="shared" si="40"/>
        <v>19997.712</v>
      </c>
      <c r="O51" s="9"/>
    </row>
    <row r="52" spans="1:15" x14ac:dyDescent="0.3">
      <c r="A52" s="1">
        <v>51</v>
      </c>
      <c r="C52" s="2" t="s">
        <v>39</v>
      </c>
      <c r="D52" s="2" t="s">
        <v>134</v>
      </c>
      <c r="E52" s="1" t="s">
        <v>136</v>
      </c>
      <c r="F52" s="3">
        <v>37620</v>
      </c>
      <c r="G52" s="4">
        <v>0.12</v>
      </c>
      <c r="H52" s="3">
        <f t="shared" si="36"/>
        <v>42134.400000000001</v>
      </c>
      <c r="I52" s="9">
        <v>0.4</v>
      </c>
      <c r="J52" s="3">
        <f t="shared" si="37"/>
        <v>22572</v>
      </c>
      <c r="K52" s="3">
        <f t="shared" si="38"/>
        <v>25280.639999999999</v>
      </c>
      <c r="L52" s="9">
        <v>0.15</v>
      </c>
      <c r="M52" s="3">
        <f t="shared" si="39"/>
        <v>19186.2</v>
      </c>
      <c r="N52" s="5">
        <f t="shared" si="40"/>
        <v>21488.544000000002</v>
      </c>
      <c r="O52" s="9"/>
    </row>
    <row r="53" spans="1:15" x14ac:dyDescent="0.3">
      <c r="A53" s="1">
        <v>52</v>
      </c>
      <c r="C53" s="2" t="s">
        <v>40</v>
      </c>
      <c r="D53" s="2" t="s">
        <v>134</v>
      </c>
      <c r="E53" s="1" t="s">
        <v>136</v>
      </c>
      <c r="F53" s="3">
        <v>13590</v>
      </c>
      <c r="G53" s="4">
        <v>0.12</v>
      </c>
      <c r="H53" s="3">
        <f t="shared" si="36"/>
        <v>15220.8</v>
      </c>
      <c r="I53" s="9">
        <v>0.4</v>
      </c>
      <c r="J53" s="3">
        <f t="shared" si="37"/>
        <v>8154</v>
      </c>
      <c r="K53" s="3">
        <f t="shared" si="38"/>
        <v>9132.48</v>
      </c>
      <c r="L53" s="9">
        <v>0.15</v>
      </c>
      <c r="M53" s="3">
        <f t="shared" si="39"/>
        <v>6930.9</v>
      </c>
      <c r="N53" s="5">
        <f t="shared" si="40"/>
        <v>7762.6079999999993</v>
      </c>
      <c r="O53" s="9"/>
    </row>
    <row r="54" spans="1:15" x14ac:dyDescent="0.3">
      <c r="A54" s="1">
        <v>53</v>
      </c>
      <c r="C54" s="2" t="s">
        <v>41</v>
      </c>
      <c r="D54" s="2" t="s">
        <v>134</v>
      </c>
      <c r="E54" s="1" t="s">
        <v>136</v>
      </c>
      <c r="F54" s="3">
        <v>14310</v>
      </c>
      <c r="G54" s="4">
        <v>0.12</v>
      </c>
      <c r="H54" s="3">
        <f t="shared" si="36"/>
        <v>16027.2</v>
      </c>
      <c r="I54" s="9">
        <v>0.4</v>
      </c>
      <c r="J54" s="3">
        <f t="shared" si="37"/>
        <v>8586</v>
      </c>
      <c r="K54" s="3">
        <f t="shared" si="38"/>
        <v>9616.32</v>
      </c>
      <c r="L54" s="9">
        <v>0.15</v>
      </c>
      <c r="M54" s="3">
        <f t="shared" si="39"/>
        <v>7298.1</v>
      </c>
      <c r="N54" s="5">
        <f t="shared" si="40"/>
        <v>8173.8720000000003</v>
      </c>
      <c r="O54" s="9"/>
    </row>
    <row r="55" spans="1:15" x14ac:dyDescent="0.3">
      <c r="A55" s="1">
        <v>54</v>
      </c>
      <c r="C55" s="2" t="s">
        <v>42</v>
      </c>
      <c r="D55" s="2" t="s">
        <v>134</v>
      </c>
      <c r="E55" s="1" t="s">
        <v>136</v>
      </c>
      <c r="F55" s="3">
        <v>15450</v>
      </c>
      <c r="G55" s="4">
        <v>0.12</v>
      </c>
      <c r="H55" s="3">
        <f t="shared" si="36"/>
        <v>17304</v>
      </c>
      <c r="I55" s="9">
        <v>0.4</v>
      </c>
      <c r="J55" s="3">
        <f t="shared" si="37"/>
        <v>9270</v>
      </c>
      <c r="K55" s="3">
        <f t="shared" si="38"/>
        <v>10382.4</v>
      </c>
      <c r="L55" s="9">
        <v>0.15</v>
      </c>
      <c r="M55" s="3">
        <f t="shared" si="39"/>
        <v>7879.5</v>
      </c>
      <c r="N55" s="5">
        <f t="shared" si="40"/>
        <v>8825.0400000000009</v>
      </c>
      <c r="O55" s="9"/>
    </row>
    <row r="56" spans="1:15" x14ac:dyDescent="0.3">
      <c r="A56" s="1">
        <v>55</v>
      </c>
      <c r="C56" s="2" t="s">
        <v>43</v>
      </c>
      <c r="D56" s="2" t="s">
        <v>134</v>
      </c>
      <c r="E56" s="1" t="s">
        <v>136</v>
      </c>
      <c r="F56" s="3">
        <v>17520</v>
      </c>
      <c r="G56" s="4">
        <v>0.12</v>
      </c>
      <c r="H56" s="3">
        <f t="shared" si="36"/>
        <v>19622.400000000001</v>
      </c>
      <c r="I56" s="9">
        <v>0.4</v>
      </c>
      <c r="J56" s="3">
        <f t="shared" si="37"/>
        <v>10512</v>
      </c>
      <c r="K56" s="3">
        <f t="shared" si="38"/>
        <v>11773.44</v>
      </c>
      <c r="L56" s="9">
        <v>0.15</v>
      </c>
      <c r="M56" s="3">
        <f t="shared" si="39"/>
        <v>8935.2000000000007</v>
      </c>
      <c r="N56" s="5">
        <f t="shared" si="40"/>
        <v>10007.424000000001</v>
      </c>
      <c r="O56" s="9"/>
    </row>
    <row r="57" spans="1:15" x14ac:dyDescent="0.3">
      <c r="A57" s="1">
        <v>56</v>
      </c>
      <c r="C57" s="2" t="s">
        <v>44</v>
      </c>
      <c r="D57" s="2" t="s">
        <v>134</v>
      </c>
      <c r="E57" s="1" t="s">
        <v>136</v>
      </c>
      <c r="F57" s="3">
        <v>24060</v>
      </c>
      <c r="G57" s="4">
        <v>0.12</v>
      </c>
      <c r="H57" s="3">
        <f t="shared" si="36"/>
        <v>26947.200000000001</v>
      </c>
      <c r="I57" s="9">
        <v>0.4</v>
      </c>
      <c r="J57" s="3">
        <f t="shared" si="37"/>
        <v>14436</v>
      </c>
      <c r="K57" s="3">
        <f t="shared" si="38"/>
        <v>16168.32</v>
      </c>
      <c r="L57" s="9">
        <v>0.15</v>
      </c>
      <c r="M57" s="3">
        <f t="shared" si="39"/>
        <v>12270.6</v>
      </c>
      <c r="N57" s="5">
        <f t="shared" si="40"/>
        <v>13743.072</v>
      </c>
      <c r="O57" s="9"/>
    </row>
    <row r="58" spans="1:15" x14ac:dyDescent="0.3">
      <c r="A58" s="1">
        <v>57</v>
      </c>
      <c r="C58" s="2" t="s">
        <v>45</v>
      </c>
      <c r="D58" s="2" t="s">
        <v>134</v>
      </c>
      <c r="E58" s="1" t="s">
        <v>136</v>
      </c>
      <c r="F58" s="3">
        <v>25890</v>
      </c>
      <c r="G58" s="4">
        <v>0.12</v>
      </c>
      <c r="H58" s="3">
        <f t="shared" si="36"/>
        <v>28996.799999999999</v>
      </c>
      <c r="I58" s="9">
        <v>0.4</v>
      </c>
      <c r="J58" s="3">
        <f t="shared" si="37"/>
        <v>15534</v>
      </c>
      <c r="K58" s="3">
        <f t="shared" si="38"/>
        <v>17398.080000000002</v>
      </c>
      <c r="L58" s="9">
        <v>0.15</v>
      </c>
      <c r="M58" s="3">
        <f t="shared" si="39"/>
        <v>13203.9</v>
      </c>
      <c r="N58" s="5">
        <f t="shared" si="40"/>
        <v>14788.367999999999</v>
      </c>
      <c r="O58" s="9"/>
    </row>
    <row r="59" spans="1:15" x14ac:dyDescent="0.3">
      <c r="A59" s="1">
        <v>58</v>
      </c>
      <c r="C59" s="2" t="s">
        <v>46</v>
      </c>
      <c r="D59" s="2" t="s">
        <v>134</v>
      </c>
      <c r="E59" s="1" t="s">
        <v>136</v>
      </c>
      <c r="F59" s="3">
        <v>17460</v>
      </c>
      <c r="G59" s="4">
        <v>0.12</v>
      </c>
      <c r="H59" s="3">
        <f t="shared" si="36"/>
        <v>19555.2</v>
      </c>
      <c r="I59" s="9">
        <v>0.4</v>
      </c>
      <c r="J59" s="3">
        <f t="shared" si="37"/>
        <v>10476</v>
      </c>
      <c r="K59" s="3">
        <f t="shared" si="38"/>
        <v>11733.119999999999</v>
      </c>
      <c r="L59" s="9">
        <v>0.15</v>
      </c>
      <c r="M59" s="3">
        <f t="shared" si="39"/>
        <v>8904.6</v>
      </c>
      <c r="N59" s="5">
        <f t="shared" si="40"/>
        <v>9973.152</v>
      </c>
      <c r="O59" s="9"/>
    </row>
    <row r="60" spans="1:15" x14ac:dyDescent="0.3">
      <c r="A60" s="1">
        <v>59</v>
      </c>
      <c r="C60" s="2" t="s">
        <v>47</v>
      </c>
      <c r="D60" s="2" t="s">
        <v>134</v>
      </c>
      <c r="E60" s="1" t="s">
        <v>136</v>
      </c>
      <c r="F60" s="3">
        <v>19200</v>
      </c>
      <c r="G60" s="4">
        <v>0.12</v>
      </c>
      <c r="H60" s="3">
        <f t="shared" si="36"/>
        <v>21504</v>
      </c>
      <c r="I60" s="9">
        <v>0.4</v>
      </c>
      <c r="J60" s="3">
        <f t="shared" si="37"/>
        <v>11520</v>
      </c>
      <c r="K60" s="3">
        <f t="shared" si="38"/>
        <v>12902.4</v>
      </c>
      <c r="L60" s="9">
        <v>0.15</v>
      </c>
      <c r="M60" s="3">
        <f t="shared" si="39"/>
        <v>9792</v>
      </c>
      <c r="N60" s="5">
        <f t="shared" si="40"/>
        <v>10967.04</v>
      </c>
      <c r="O60" s="9"/>
    </row>
    <row r="61" spans="1:15" x14ac:dyDescent="0.3">
      <c r="A61" s="1">
        <v>60</v>
      </c>
      <c r="C61" s="2" t="s">
        <v>48</v>
      </c>
      <c r="D61" s="2" t="s">
        <v>134</v>
      </c>
      <c r="E61" s="1" t="s">
        <v>136</v>
      </c>
      <c r="F61" s="3">
        <v>20970</v>
      </c>
      <c r="G61" s="4">
        <v>0.12</v>
      </c>
      <c r="H61" s="3">
        <f t="shared" si="36"/>
        <v>23486.400000000001</v>
      </c>
      <c r="I61" s="9">
        <v>0.4</v>
      </c>
      <c r="J61" s="3">
        <f t="shared" si="37"/>
        <v>12582</v>
      </c>
      <c r="K61" s="3">
        <f t="shared" si="38"/>
        <v>14091.84</v>
      </c>
      <c r="L61" s="9">
        <v>0.15</v>
      </c>
      <c r="M61" s="3">
        <f t="shared" si="39"/>
        <v>10694.7</v>
      </c>
      <c r="N61" s="5">
        <f t="shared" si="40"/>
        <v>11978.064</v>
      </c>
      <c r="O61" s="9"/>
    </row>
    <row r="62" spans="1:15" x14ac:dyDescent="0.3">
      <c r="A62" s="1">
        <v>61</v>
      </c>
      <c r="C62" s="2" t="s">
        <v>49</v>
      </c>
      <c r="D62" s="2" t="s">
        <v>134</v>
      </c>
      <c r="E62" s="1" t="s">
        <v>136</v>
      </c>
      <c r="F62" s="3">
        <v>23310</v>
      </c>
      <c r="G62" s="4">
        <v>0.12</v>
      </c>
      <c r="H62" s="3">
        <f t="shared" si="36"/>
        <v>26107.200000000001</v>
      </c>
      <c r="I62" s="9">
        <v>0.4</v>
      </c>
      <c r="J62" s="3">
        <f t="shared" si="37"/>
        <v>13986</v>
      </c>
      <c r="K62" s="3">
        <f t="shared" si="38"/>
        <v>15664.32</v>
      </c>
      <c r="L62" s="9">
        <v>0.15</v>
      </c>
      <c r="M62" s="3">
        <f t="shared" si="39"/>
        <v>11888.1</v>
      </c>
      <c r="N62" s="5">
        <f t="shared" si="40"/>
        <v>13314.672</v>
      </c>
      <c r="O62" s="9"/>
    </row>
    <row r="63" spans="1:15" x14ac:dyDescent="0.3">
      <c r="A63" s="1">
        <v>62</v>
      </c>
      <c r="C63" s="2" t="s">
        <v>50</v>
      </c>
      <c r="D63" s="2" t="s">
        <v>134</v>
      </c>
      <c r="E63" s="1" t="s">
        <v>136</v>
      </c>
      <c r="F63" s="3">
        <v>26100</v>
      </c>
      <c r="G63" s="4">
        <v>0.12</v>
      </c>
      <c r="H63" s="3">
        <f t="shared" si="36"/>
        <v>29232</v>
      </c>
      <c r="I63" s="9">
        <v>0.4</v>
      </c>
      <c r="J63" s="3">
        <f t="shared" si="37"/>
        <v>15660</v>
      </c>
      <c r="K63" s="3">
        <f t="shared" si="38"/>
        <v>17539.2</v>
      </c>
      <c r="L63" s="9">
        <v>0.15</v>
      </c>
      <c r="M63" s="3">
        <f t="shared" si="39"/>
        <v>13311</v>
      </c>
      <c r="N63" s="5">
        <f t="shared" si="40"/>
        <v>14908.32</v>
      </c>
      <c r="O63" s="9"/>
    </row>
    <row r="64" spans="1:15" x14ac:dyDescent="0.3">
      <c r="A64" s="1">
        <v>63</v>
      </c>
      <c r="C64" s="2" t="s">
        <v>51</v>
      </c>
      <c r="D64" s="2" t="s">
        <v>134</v>
      </c>
      <c r="E64" s="1" t="s">
        <v>136</v>
      </c>
      <c r="F64" s="3">
        <v>13020</v>
      </c>
      <c r="G64" s="4">
        <v>0.12</v>
      </c>
      <c r="H64" s="3">
        <f t="shared" si="36"/>
        <v>14582.4</v>
      </c>
      <c r="I64" s="9">
        <v>0.4</v>
      </c>
      <c r="J64" s="3">
        <f t="shared" si="37"/>
        <v>7812</v>
      </c>
      <c r="K64" s="3">
        <f t="shared" si="38"/>
        <v>8749.44</v>
      </c>
      <c r="L64" s="9">
        <v>0.15</v>
      </c>
      <c r="M64" s="3">
        <f t="shared" si="39"/>
        <v>6640.2</v>
      </c>
      <c r="N64" s="5">
        <f t="shared" si="40"/>
        <v>7437.0239999999994</v>
      </c>
      <c r="O64" s="9"/>
    </row>
    <row r="65" spans="1:15" x14ac:dyDescent="0.3">
      <c r="A65" s="1">
        <v>64</v>
      </c>
      <c r="C65" s="2" t="s">
        <v>52</v>
      </c>
      <c r="D65" s="2" t="s">
        <v>134</v>
      </c>
      <c r="E65" s="1" t="s">
        <v>136</v>
      </c>
      <c r="F65" s="3">
        <v>15240</v>
      </c>
      <c r="G65" s="4">
        <v>0.12</v>
      </c>
      <c r="H65" s="3">
        <f t="shared" si="36"/>
        <v>17068.8</v>
      </c>
      <c r="I65" s="9">
        <v>0.4</v>
      </c>
      <c r="J65" s="3">
        <f t="shared" si="37"/>
        <v>9144</v>
      </c>
      <c r="K65" s="3">
        <f t="shared" si="38"/>
        <v>10241.280000000001</v>
      </c>
      <c r="L65" s="9">
        <v>0.15</v>
      </c>
      <c r="M65" s="3">
        <f t="shared" si="39"/>
        <v>7772.4</v>
      </c>
      <c r="N65" s="5">
        <f t="shared" si="40"/>
        <v>8705.0879999999997</v>
      </c>
      <c r="O65" s="9"/>
    </row>
    <row r="66" spans="1:15" x14ac:dyDescent="0.3">
      <c r="A66" s="1">
        <v>65</v>
      </c>
      <c r="C66" s="2" t="s">
        <v>53</v>
      </c>
      <c r="D66" s="2" t="s">
        <v>134</v>
      </c>
      <c r="E66" s="1" t="s">
        <v>136</v>
      </c>
      <c r="F66" s="3">
        <v>16290</v>
      </c>
      <c r="G66" s="4">
        <v>0.12</v>
      </c>
      <c r="H66" s="3">
        <f t="shared" si="36"/>
        <v>18244.8</v>
      </c>
      <c r="I66" s="9">
        <v>0.4</v>
      </c>
      <c r="J66" s="3">
        <f t="shared" si="37"/>
        <v>9774</v>
      </c>
      <c r="K66" s="3">
        <f t="shared" si="38"/>
        <v>10946.88</v>
      </c>
      <c r="L66" s="9">
        <v>0.15</v>
      </c>
      <c r="M66" s="3">
        <f t="shared" si="39"/>
        <v>8307.9</v>
      </c>
      <c r="N66" s="5">
        <f t="shared" si="40"/>
        <v>9304.848</v>
      </c>
      <c r="O66" s="9"/>
    </row>
    <row r="67" spans="1:15" x14ac:dyDescent="0.3">
      <c r="A67" s="1">
        <v>66</v>
      </c>
      <c r="C67" s="2" t="s">
        <v>54</v>
      </c>
      <c r="D67" s="2" t="s">
        <v>134</v>
      </c>
      <c r="E67" s="1" t="s">
        <v>136</v>
      </c>
      <c r="F67" s="3">
        <v>17940</v>
      </c>
      <c r="G67" s="4">
        <v>0.12</v>
      </c>
      <c r="H67" s="3">
        <f t="shared" si="36"/>
        <v>20092.8</v>
      </c>
      <c r="I67" s="9">
        <v>0.4</v>
      </c>
      <c r="J67" s="3">
        <f t="shared" si="37"/>
        <v>10764</v>
      </c>
      <c r="K67" s="3">
        <f t="shared" si="38"/>
        <v>12055.68</v>
      </c>
      <c r="L67" s="9">
        <v>0.15</v>
      </c>
      <c r="M67" s="3">
        <f t="shared" si="39"/>
        <v>9149.4</v>
      </c>
      <c r="N67" s="5">
        <f t="shared" si="40"/>
        <v>10247.328</v>
      </c>
      <c r="O67" s="9"/>
    </row>
    <row r="68" spans="1:15" x14ac:dyDescent="0.3">
      <c r="A68" s="1">
        <v>67</v>
      </c>
      <c r="C68" s="2" t="s">
        <v>55</v>
      </c>
      <c r="D68" s="2" t="s">
        <v>134</v>
      </c>
      <c r="E68" s="1" t="s">
        <v>136</v>
      </c>
      <c r="F68" s="3">
        <v>20610</v>
      </c>
      <c r="G68" s="4">
        <v>0.12</v>
      </c>
      <c r="H68" s="3">
        <f t="shared" si="36"/>
        <v>23083.200000000001</v>
      </c>
      <c r="I68" s="9">
        <v>0.4</v>
      </c>
      <c r="J68" s="3">
        <f t="shared" si="37"/>
        <v>12366</v>
      </c>
      <c r="K68" s="3">
        <f t="shared" si="38"/>
        <v>13849.92</v>
      </c>
      <c r="L68" s="9">
        <v>0.15</v>
      </c>
      <c r="M68" s="3">
        <f t="shared" si="39"/>
        <v>10511.1</v>
      </c>
      <c r="N68" s="5">
        <f t="shared" si="40"/>
        <v>11772.432000000001</v>
      </c>
      <c r="O68" s="9"/>
    </row>
    <row r="69" spans="1:15" x14ac:dyDescent="0.3">
      <c r="A69" s="1">
        <v>68</v>
      </c>
      <c r="C69" s="2" t="s">
        <v>56</v>
      </c>
      <c r="D69" s="2" t="s">
        <v>134</v>
      </c>
      <c r="E69" s="1" t="s">
        <v>136</v>
      </c>
      <c r="F69" s="3">
        <v>25260</v>
      </c>
      <c r="G69" s="4">
        <v>0.12</v>
      </c>
      <c r="H69" s="3">
        <f t="shared" si="36"/>
        <v>28291.200000000001</v>
      </c>
      <c r="I69" s="9">
        <v>0.4</v>
      </c>
      <c r="J69" s="3">
        <f t="shared" si="37"/>
        <v>15156</v>
      </c>
      <c r="K69" s="3">
        <f t="shared" si="38"/>
        <v>16974.72</v>
      </c>
      <c r="L69" s="9">
        <v>0.15</v>
      </c>
      <c r="M69" s="3">
        <f t="shared" si="39"/>
        <v>12882.6</v>
      </c>
      <c r="N69" s="5">
        <f t="shared" si="40"/>
        <v>14428.512000000001</v>
      </c>
      <c r="O69" s="9"/>
    </row>
    <row r="70" spans="1:15" x14ac:dyDescent="0.3">
      <c r="A70" s="1">
        <v>69</v>
      </c>
      <c r="C70" s="2" t="s">
        <v>57</v>
      </c>
      <c r="D70" s="2" t="s">
        <v>134</v>
      </c>
      <c r="E70" s="1" t="s">
        <v>136</v>
      </c>
      <c r="F70" s="3">
        <v>31290</v>
      </c>
      <c r="G70" s="4">
        <v>0.12</v>
      </c>
      <c r="H70" s="3">
        <f t="shared" si="36"/>
        <v>35044.800000000003</v>
      </c>
      <c r="I70" s="9">
        <v>0.4</v>
      </c>
      <c r="J70" s="3">
        <f t="shared" si="37"/>
        <v>18774</v>
      </c>
      <c r="K70" s="3">
        <f t="shared" si="38"/>
        <v>21026.880000000001</v>
      </c>
      <c r="L70" s="9">
        <v>0.15</v>
      </c>
      <c r="M70" s="3">
        <f t="shared" si="39"/>
        <v>15957.9</v>
      </c>
      <c r="N70" s="5">
        <f t="shared" si="40"/>
        <v>17872.847999999998</v>
      </c>
      <c r="O70" s="9"/>
    </row>
    <row r="71" spans="1:15" x14ac:dyDescent="0.3">
      <c r="A71" s="1">
        <v>70</v>
      </c>
      <c r="C71" s="2" t="s">
        <v>58</v>
      </c>
      <c r="D71" s="2" t="s">
        <v>134</v>
      </c>
      <c r="E71" s="1" t="s">
        <v>136</v>
      </c>
      <c r="F71" s="3">
        <v>33180</v>
      </c>
      <c r="G71" s="4">
        <v>0.12</v>
      </c>
      <c r="H71" s="3">
        <f t="shared" si="36"/>
        <v>37161.599999999999</v>
      </c>
      <c r="I71" s="9">
        <v>0.4</v>
      </c>
      <c r="J71" s="3">
        <f t="shared" si="37"/>
        <v>19908</v>
      </c>
      <c r="K71" s="3">
        <f t="shared" si="38"/>
        <v>22296.959999999999</v>
      </c>
      <c r="L71" s="9">
        <v>0.15</v>
      </c>
      <c r="M71" s="3">
        <f t="shared" si="39"/>
        <v>16921.8</v>
      </c>
      <c r="N71" s="5">
        <f t="shared" si="40"/>
        <v>18952.415999999997</v>
      </c>
      <c r="O71" s="9"/>
    </row>
    <row r="72" spans="1:15" x14ac:dyDescent="0.3">
      <c r="A72" s="1">
        <v>71</v>
      </c>
      <c r="C72" s="2" t="s">
        <v>59</v>
      </c>
      <c r="D72" s="2" t="s">
        <v>134</v>
      </c>
      <c r="E72" s="1" t="s">
        <v>136</v>
      </c>
      <c r="F72" s="3">
        <v>36480</v>
      </c>
      <c r="G72" s="4">
        <v>0.12</v>
      </c>
      <c r="H72" s="3">
        <f t="shared" si="36"/>
        <v>40857.599999999999</v>
      </c>
      <c r="I72" s="9">
        <v>0.4</v>
      </c>
      <c r="J72" s="3">
        <f t="shared" si="37"/>
        <v>21888</v>
      </c>
      <c r="K72" s="3">
        <f t="shared" si="38"/>
        <v>24514.560000000001</v>
      </c>
      <c r="L72" s="9">
        <v>0.15</v>
      </c>
      <c r="M72" s="3">
        <f t="shared" si="39"/>
        <v>18604.8</v>
      </c>
      <c r="N72" s="5">
        <f t="shared" si="40"/>
        <v>20837.376</v>
      </c>
      <c r="O72" s="9"/>
    </row>
    <row r="73" spans="1:15" x14ac:dyDescent="0.3">
      <c r="A73" s="1">
        <v>72</v>
      </c>
      <c r="C73" s="2" t="s">
        <v>60</v>
      </c>
      <c r="D73" s="2" t="s">
        <v>134</v>
      </c>
      <c r="E73" s="1" t="s">
        <v>136</v>
      </c>
      <c r="F73" s="3">
        <v>41640</v>
      </c>
      <c r="G73" s="4">
        <v>0.12</v>
      </c>
      <c r="H73" s="3">
        <f t="shared" si="36"/>
        <v>46636.800000000003</v>
      </c>
      <c r="I73" s="9">
        <v>0.4</v>
      </c>
      <c r="J73" s="3">
        <f t="shared" si="37"/>
        <v>24984</v>
      </c>
      <c r="K73" s="3">
        <f t="shared" si="38"/>
        <v>27982.080000000002</v>
      </c>
      <c r="L73" s="9">
        <v>0.15</v>
      </c>
      <c r="M73" s="3">
        <f t="shared" si="39"/>
        <v>21236.400000000001</v>
      </c>
      <c r="N73" s="5">
        <f t="shared" si="40"/>
        <v>23784.768</v>
      </c>
      <c r="O73" s="9"/>
    </row>
    <row r="74" spans="1:15" x14ac:dyDescent="0.3">
      <c r="A74" s="1">
        <v>73</v>
      </c>
      <c r="C74" s="2" t="s">
        <v>61</v>
      </c>
      <c r="D74" s="2" t="s">
        <v>134</v>
      </c>
      <c r="E74" s="1" t="s">
        <v>136</v>
      </c>
      <c r="F74" s="3">
        <v>4800</v>
      </c>
      <c r="G74" s="4">
        <v>0.12</v>
      </c>
      <c r="H74" s="3">
        <f t="shared" si="36"/>
        <v>5376</v>
      </c>
      <c r="I74" s="9">
        <v>0.4</v>
      </c>
      <c r="J74" s="3">
        <f t="shared" si="37"/>
        <v>2880</v>
      </c>
      <c r="K74" s="3">
        <f t="shared" si="38"/>
        <v>3225.6</v>
      </c>
      <c r="L74" s="9">
        <v>0.15</v>
      </c>
      <c r="M74" s="3">
        <f t="shared" si="39"/>
        <v>2448</v>
      </c>
      <c r="N74" s="5">
        <f t="shared" si="40"/>
        <v>2741.76</v>
      </c>
      <c r="O74" s="9"/>
    </row>
    <row r="75" spans="1:15" x14ac:dyDescent="0.3">
      <c r="A75" s="1">
        <v>74</v>
      </c>
      <c r="C75" s="2" t="s">
        <v>62</v>
      </c>
      <c r="D75" s="2" t="s">
        <v>134</v>
      </c>
      <c r="E75" s="1" t="s">
        <v>136</v>
      </c>
      <c r="F75" s="3">
        <v>4800</v>
      </c>
      <c r="G75" s="4">
        <v>0.12</v>
      </c>
      <c r="H75" s="3">
        <f t="shared" si="36"/>
        <v>5376</v>
      </c>
      <c r="I75" s="9">
        <v>0.4</v>
      </c>
      <c r="J75" s="3">
        <f t="shared" si="37"/>
        <v>2880</v>
      </c>
      <c r="K75" s="3">
        <f t="shared" si="38"/>
        <v>3225.6</v>
      </c>
      <c r="L75" s="9">
        <v>0.15</v>
      </c>
      <c r="M75" s="3">
        <f t="shared" si="39"/>
        <v>2448</v>
      </c>
      <c r="N75" s="5">
        <f t="shared" si="40"/>
        <v>2741.76</v>
      </c>
      <c r="O75" s="9"/>
    </row>
    <row r="76" spans="1:15" x14ac:dyDescent="0.3">
      <c r="A76" s="1">
        <v>75</v>
      </c>
      <c r="C76" s="2" t="s">
        <v>63</v>
      </c>
      <c r="D76" s="2" t="s">
        <v>134</v>
      </c>
      <c r="E76" s="1" t="s">
        <v>136</v>
      </c>
      <c r="F76" s="3">
        <v>5550</v>
      </c>
      <c r="G76" s="4">
        <v>0.12</v>
      </c>
      <c r="H76" s="3">
        <f t="shared" si="36"/>
        <v>6216</v>
      </c>
      <c r="I76" s="9">
        <v>0.4</v>
      </c>
      <c r="J76" s="3">
        <f t="shared" si="37"/>
        <v>3330</v>
      </c>
      <c r="K76" s="3">
        <f t="shared" si="38"/>
        <v>3729.6</v>
      </c>
      <c r="L76" s="9">
        <v>0.15</v>
      </c>
      <c r="M76" s="3">
        <f t="shared" si="39"/>
        <v>2830.5</v>
      </c>
      <c r="N76" s="5">
        <f t="shared" si="40"/>
        <v>3170.16</v>
      </c>
      <c r="O76" s="9"/>
    </row>
    <row r="77" spans="1:15" x14ac:dyDescent="0.3">
      <c r="A77" s="1">
        <v>76</v>
      </c>
      <c r="C77" s="2" t="s">
        <v>64</v>
      </c>
      <c r="D77" s="2" t="s">
        <v>134</v>
      </c>
      <c r="E77" s="1" t="s">
        <v>136</v>
      </c>
      <c r="F77" s="3">
        <v>5550</v>
      </c>
      <c r="G77" s="4">
        <v>0.12</v>
      </c>
      <c r="H77" s="3">
        <f t="shared" si="36"/>
        <v>6216</v>
      </c>
      <c r="I77" s="9">
        <v>0.4</v>
      </c>
      <c r="J77" s="3">
        <f t="shared" si="37"/>
        <v>3330</v>
      </c>
      <c r="K77" s="3">
        <f t="shared" si="38"/>
        <v>3729.6</v>
      </c>
      <c r="L77" s="9">
        <v>0.15</v>
      </c>
      <c r="M77" s="3">
        <f t="shared" si="39"/>
        <v>2830.5</v>
      </c>
      <c r="N77" s="5">
        <f t="shared" si="40"/>
        <v>3170.16</v>
      </c>
      <c r="O77" s="9"/>
    </row>
    <row r="78" spans="1:15" x14ac:dyDescent="0.3">
      <c r="A78" s="1">
        <v>77</v>
      </c>
      <c r="C78" s="2" t="s">
        <v>65</v>
      </c>
      <c r="D78" s="2" t="s">
        <v>134</v>
      </c>
      <c r="E78" s="1" t="s">
        <v>136</v>
      </c>
      <c r="F78" s="3">
        <v>5550</v>
      </c>
      <c r="G78" s="4">
        <v>0.12</v>
      </c>
      <c r="H78" s="3">
        <f t="shared" si="36"/>
        <v>6216</v>
      </c>
      <c r="I78" s="9">
        <v>0.4</v>
      </c>
      <c r="J78" s="3">
        <f t="shared" si="37"/>
        <v>3330</v>
      </c>
      <c r="K78" s="3">
        <f t="shared" si="38"/>
        <v>3729.6</v>
      </c>
      <c r="L78" s="9">
        <v>0.15</v>
      </c>
      <c r="M78" s="3">
        <f t="shared" si="39"/>
        <v>2830.5</v>
      </c>
      <c r="N78" s="5">
        <f t="shared" si="40"/>
        <v>3170.16</v>
      </c>
      <c r="O78" s="9"/>
    </row>
    <row r="79" spans="1:15" x14ac:dyDescent="0.3">
      <c r="A79" s="1">
        <v>78</v>
      </c>
      <c r="C79" s="2" t="s">
        <v>66</v>
      </c>
      <c r="D79" s="2" t="s">
        <v>134</v>
      </c>
      <c r="E79" s="1" t="s">
        <v>136</v>
      </c>
      <c r="F79" s="3">
        <v>7800</v>
      </c>
      <c r="G79" s="4">
        <v>0.12</v>
      </c>
      <c r="H79" s="3">
        <f t="shared" si="36"/>
        <v>8736</v>
      </c>
      <c r="I79" s="9">
        <v>0.4</v>
      </c>
      <c r="J79" s="3">
        <f t="shared" si="37"/>
        <v>4680</v>
      </c>
      <c r="K79" s="3">
        <f t="shared" si="38"/>
        <v>5241.6000000000004</v>
      </c>
      <c r="L79" s="9">
        <v>0.15</v>
      </c>
      <c r="M79" s="3">
        <f t="shared" si="39"/>
        <v>3978</v>
      </c>
      <c r="N79" s="5">
        <f t="shared" si="40"/>
        <v>4455.3599999999997</v>
      </c>
      <c r="O79" s="9"/>
    </row>
    <row r="80" spans="1:15" x14ac:dyDescent="0.3">
      <c r="A80" s="1">
        <v>79</v>
      </c>
      <c r="C80" s="2" t="s">
        <v>67</v>
      </c>
      <c r="D80" s="2" t="s">
        <v>134</v>
      </c>
      <c r="E80" s="1" t="s">
        <v>136</v>
      </c>
      <c r="F80" s="3">
        <v>7800</v>
      </c>
      <c r="G80" s="4">
        <v>0.12</v>
      </c>
      <c r="H80" s="3">
        <f t="shared" si="36"/>
        <v>8736</v>
      </c>
      <c r="I80" s="9">
        <v>0.4</v>
      </c>
      <c r="J80" s="3">
        <f t="shared" si="37"/>
        <v>4680</v>
      </c>
      <c r="K80" s="3">
        <f t="shared" si="38"/>
        <v>5241.6000000000004</v>
      </c>
      <c r="L80" s="9">
        <v>0.15</v>
      </c>
      <c r="M80" s="3">
        <f t="shared" si="39"/>
        <v>3978</v>
      </c>
      <c r="N80" s="5">
        <f t="shared" si="40"/>
        <v>4455.3599999999997</v>
      </c>
      <c r="O80" s="9"/>
    </row>
    <row r="81" spans="1:15" x14ac:dyDescent="0.3">
      <c r="A81" s="1">
        <v>80</v>
      </c>
      <c r="C81" s="2" t="s">
        <v>68</v>
      </c>
      <c r="D81" s="2" t="s">
        <v>134</v>
      </c>
      <c r="E81" s="1" t="s">
        <v>136</v>
      </c>
      <c r="F81" s="3">
        <v>8550</v>
      </c>
      <c r="G81" s="4">
        <v>0.12</v>
      </c>
      <c r="H81" s="3">
        <f t="shared" si="36"/>
        <v>9576</v>
      </c>
      <c r="I81" s="9">
        <v>0.4</v>
      </c>
      <c r="J81" s="3">
        <f t="shared" si="37"/>
        <v>5130</v>
      </c>
      <c r="K81" s="3">
        <f t="shared" si="38"/>
        <v>5745.6</v>
      </c>
      <c r="L81" s="9">
        <v>0.15</v>
      </c>
      <c r="M81" s="3">
        <f t="shared" si="39"/>
        <v>4360.5</v>
      </c>
      <c r="N81" s="5">
        <f t="shared" si="40"/>
        <v>4883.76</v>
      </c>
      <c r="O81" s="9"/>
    </row>
    <row r="82" spans="1:15" x14ac:dyDescent="0.3">
      <c r="A82" s="1">
        <v>81</v>
      </c>
      <c r="C82" s="2" t="s">
        <v>69</v>
      </c>
      <c r="D82" s="2" t="s">
        <v>134</v>
      </c>
      <c r="E82" s="1" t="s">
        <v>136</v>
      </c>
      <c r="F82" s="3">
        <v>8550</v>
      </c>
      <c r="G82" s="4">
        <v>0.12</v>
      </c>
      <c r="H82" s="3">
        <f t="shared" si="36"/>
        <v>9576</v>
      </c>
      <c r="I82" s="9">
        <v>0.4</v>
      </c>
      <c r="J82" s="3">
        <f t="shared" si="37"/>
        <v>5130</v>
      </c>
      <c r="K82" s="3">
        <f t="shared" si="38"/>
        <v>5745.6</v>
      </c>
      <c r="L82" s="9">
        <v>0.15</v>
      </c>
      <c r="M82" s="3">
        <f t="shared" si="39"/>
        <v>4360.5</v>
      </c>
      <c r="N82" s="5">
        <f t="shared" si="40"/>
        <v>4883.76</v>
      </c>
      <c r="O82" s="9"/>
    </row>
    <row r="83" spans="1:15" x14ac:dyDescent="0.3">
      <c r="A83" s="1">
        <v>82</v>
      </c>
      <c r="C83" s="2" t="s">
        <v>70</v>
      </c>
      <c r="D83" s="2" t="s">
        <v>134</v>
      </c>
      <c r="E83" s="1" t="s">
        <v>136</v>
      </c>
      <c r="F83" s="3">
        <v>8550</v>
      </c>
      <c r="G83" s="4">
        <v>0.12</v>
      </c>
      <c r="H83" s="3">
        <f t="shared" ref="H83:H143" si="41">F83+(F83*G83)</f>
        <v>9576</v>
      </c>
      <c r="I83" s="9">
        <v>0.4</v>
      </c>
      <c r="J83" s="3">
        <f t="shared" ref="J83:J143" si="42">F83-(F83*I83)</f>
        <v>5130</v>
      </c>
      <c r="K83" s="3">
        <f t="shared" ref="K83:K143" si="43">J83+(J83*G83)</f>
        <v>5745.6</v>
      </c>
      <c r="L83" s="9">
        <v>0.15</v>
      </c>
      <c r="M83" s="3">
        <f t="shared" ref="M83:M143" si="44">J83-(J83*L83)</f>
        <v>4360.5</v>
      </c>
      <c r="N83" s="5">
        <f t="shared" ref="N83:N143" si="45">M83+(M83*G83)</f>
        <v>4883.76</v>
      </c>
      <c r="O83" s="9"/>
    </row>
    <row r="84" spans="1:15" x14ac:dyDescent="0.3">
      <c r="A84" s="1">
        <v>83</v>
      </c>
      <c r="C84" s="2" t="s">
        <v>71</v>
      </c>
      <c r="D84" s="2" t="s">
        <v>134</v>
      </c>
      <c r="E84" s="1" t="s">
        <v>136</v>
      </c>
      <c r="F84" s="3">
        <v>6180</v>
      </c>
      <c r="G84" s="4">
        <v>0.12</v>
      </c>
      <c r="H84" s="3">
        <f t="shared" si="41"/>
        <v>6921.6</v>
      </c>
      <c r="I84" s="9">
        <v>0.4</v>
      </c>
      <c r="J84" s="3">
        <f t="shared" si="42"/>
        <v>3708</v>
      </c>
      <c r="K84" s="3">
        <f t="shared" si="43"/>
        <v>4152.96</v>
      </c>
      <c r="L84" s="9">
        <v>0.15</v>
      </c>
      <c r="M84" s="3">
        <f t="shared" si="44"/>
        <v>3151.8</v>
      </c>
      <c r="N84" s="5">
        <f t="shared" si="45"/>
        <v>3530.0160000000001</v>
      </c>
      <c r="O84" s="9"/>
    </row>
    <row r="85" spans="1:15" x14ac:dyDescent="0.3">
      <c r="A85" s="1">
        <v>84</v>
      </c>
      <c r="C85" s="2" t="s">
        <v>72</v>
      </c>
      <c r="D85" s="2" t="s">
        <v>134</v>
      </c>
      <c r="E85" s="1" t="s">
        <v>136</v>
      </c>
      <c r="F85" s="3">
        <v>5475</v>
      </c>
      <c r="G85" s="4">
        <v>0.12</v>
      </c>
      <c r="H85" s="3">
        <f t="shared" si="41"/>
        <v>6132</v>
      </c>
      <c r="I85" s="9">
        <v>0.4</v>
      </c>
      <c r="J85" s="3">
        <f t="shared" si="42"/>
        <v>3285</v>
      </c>
      <c r="K85" s="3">
        <f t="shared" si="43"/>
        <v>3679.2</v>
      </c>
      <c r="L85" s="9">
        <v>0.15</v>
      </c>
      <c r="M85" s="3">
        <f t="shared" si="44"/>
        <v>2792.25</v>
      </c>
      <c r="N85" s="5">
        <f t="shared" si="45"/>
        <v>3127.32</v>
      </c>
      <c r="O85" s="9"/>
    </row>
    <row r="86" spans="1:15" x14ac:dyDescent="0.3">
      <c r="A86" s="1">
        <v>85</v>
      </c>
      <c r="C86" s="2" t="s">
        <v>73</v>
      </c>
      <c r="D86" s="2" t="s">
        <v>134</v>
      </c>
      <c r="E86" s="1" t="s">
        <v>136</v>
      </c>
      <c r="F86" s="3">
        <v>4560</v>
      </c>
      <c r="G86" s="4">
        <v>0.12</v>
      </c>
      <c r="H86" s="3">
        <f t="shared" si="41"/>
        <v>5107.2</v>
      </c>
      <c r="I86" s="9">
        <v>0.4</v>
      </c>
      <c r="J86" s="3">
        <f t="shared" si="42"/>
        <v>2736</v>
      </c>
      <c r="K86" s="3">
        <f t="shared" si="43"/>
        <v>3064.32</v>
      </c>
      <c r="L86" s="9">
        <v>0.15</v>
      </c>
      <c r="M86" s="3">
        <f t="shared" si="44"/>
        <v>2325.6</v>
      </c>
      <c r="N86" s="5">
        <f t="shared" si="45"/>
        <v>2604.672</v>
      </c>
      <c r="O86" s="9"/>
    </row>
    <row r="87" spans="1:15" x14ac:dyDescent="0.3">
      <c r="A87" s="1">
        <v>86</v>
      </c>
      <c r="C87" s="2" t="s">
        <v>74</v>
      </c>
      <c r="D87" s="2" t="s">
        <v>134</v>
      </c>
      <c r="E87" s="1" t="s">
        <v>136</v>
      </c>
      <c r="F87" s="3">
        <v>5460</v>
      </c>
      <c r="G87" s="4">
        <v>0.12</v>
      </c>
      <c r="H87" s="3">
        <f t="shared" si="41"/>
        <v>6115.2</v>
      </c>
      <c r="I87" s="9">
        <v>0.4</v>
      </c>
      <c r="J87" s="3">
        <f t="shared" si="42"/>
        <v>3276</v>
      </c>
      <c r="K87" s="3">
        <f t="shared" si="43"/>
        <v>3669.12</v>
      </c>
      <c r="L87" s="9">
        <v>0.15</v>
      </c>
      <c r="M87" s="3">
        <f t="shared" si="44"/>
        <v>2784.6</v>
      </c>
      <c r="N87" s="5">
        <f t="shared" si="45"/>
        <v>3118.752</v>
      </c>
      <c r="O87" s="9"/>
    </row>
    <row r="88" spans="1:15" x14ac:dyDescent="0.3">
      <c r="A88" s="1">
        <v>87</v>
      </c>
      <c r="C88" s="2" t="s">
        <v>75</v>
      </c>
      <c r="D88" s="2" t="s">
        <v>134</v>
      </c>
      <c r="E88" s="1" t="s">
        <v>136</v>
      </c>
      <c r="F88" s="3">
        <v>5430</v>
      </c>
      <c r="G88" s="4">
        <v>0.12</v>
      </c>
      <c r="H88" s="3">
        <f t="shared" si="41"/>
        <v>6081.6</v>
      </c>
      <c r="I88" s="9">
        <v>0.4</v>
      </c>
      <c r="J88" s="3">
        <f t="shared" si="42"/>
        <v>3258</v>
      </c>
      <c r="K88" s="3">
        <f t="shared" si="43"/>
        <v>3648.96</v>
      </c>
      <c r="L88" s="9">
        <v>0.15</v>
      </c>
      <c r="M88" s="3">
        <f t="shared" si="44"/>
        <v>2769.3</v>
      </c>
      <c r="N88" s="5">
        <f t="shared" si="45"/>
        <v>3101.616</v>
      </c>
      <c r="O88" s="9"/>
    </row>
    <row r="89" spans="1:15" x14ac:dyDescent="0.3">
      <c r="A89" s="1">
        <v>88</v>
      </c>
      <c r="C89" s="2" t="s">
        <v>76</v>
      </c>
      <c r="D89" s="2" t="s">
        <v>134</v>
      </c>
      <c r="E89" s="1" t="s">
        <v>136</v>
      </c>
      <c r="F89" s="3">
        <v>7440</v>
      </c>
      <c r="G89" s="4">
        <v>0.12</v>
      </c>
      <c r="H89" s="3">
        <f t="shared" si="41"/>
        <v>8332.7999999999993</v>
      </c>
      <c r="I89" s="9">
        <v>0.4</v>
      </c>
      <c r="J89" s="3">
        <f t="shared" si="42"/>
        <v>4464</v>
      </c>
      <c r="K89" s="3">
        <f t="shared" si="43"/>
        <v>4999.68</v>
      </c>
      <c r="L89" s="9">
        <v>0.15</v>
      </c>
      <c r="M89" s="3">
        <f t="shared" si="44"/>
        <v>3794.4</v>
      </c>
      <c r="N89" s="5">
        <f t="shared" si="45"/>
        <v>4249.7280000000001</v>
      </c>
      <c r="O89" s="9"/>
    </row>
    <row r="90" spans="1:15" x14ac:dyDescent="0.3">
      <c r="A90" s="1">
        <v>89</v>
      </c>
      <c r="C90" s="2" t="s">
        <v>77</v>
      </c>
      <c r="D90" s="2" t="s">
        <v>134</v>
      </c>
      <c r="E90" s="1" t="s">
        <v>136</v>
      </c>
      <c r="F90" s="3">
        <v>10260</v>
      </c>
      <c r="G90" s="4">
        <v>0.12</v>
      </c>
      <c r="H90" s="3">
        <f t="shared" si="41"/>
        <v>11491.2</v>
      </c>
      <c r="I90" s="9">
        <v>0.4</v>
      </c>
      <c r="J90" s="3">
        <f t="shared" si="42"/>
        <v>6156</v>
      </c>
      <c r="K90" s="3">
        <f t="shared" si="43"/>
        <v>6894.72</v>
      </c>
      <c r="L90" s="9">
        <v>0.15</v>
      </c>
      <c r="M90" s="3">
        <f t="shared" si="44"/>
        <v>5232.6000000000004</v>
      </c>
      <c r="N90" s="5">
        <f t="shared" si="45"/>
        <v>5860.5120000000006</v>
      </c>
      <c r="O90" s="9"/>
    </row>
    <row r="91" spans="1:15" x14ac:dyDescent="0.3">
      <c r="A91" s="1">
        <v>90</v>
      </c>
      <c r="C91" s="2" t="s">
        <v>78</v>
      </c>
      <c r="D91" s="2" t="s">
        <v>134</v>
      </c>
      <c r="E91" s="1" t="s">
        <v>136</v>
      </c>
      <c r="F91" s="3">
        <v>5430</v>
      </c>
      <c r="G91" s="4">
        <v>0.12</v>
      </c>
      <c r="H91" s="3">
        <f t="shared" si="41"/>
        <v>6081.6</v>
      </c>
      <c r="I91" s="9">
        <v>0.4</v>
      </c>
      <c r="J91" s="3">
        <f t="shared" si="42"/>
        <v>3258</v>
      </c>
      <c r="K91" s="3">
        <f t="shared" si="43"/>
        <v>3648.96</v>
      </c>
      <c r="L91" s="9">
        <v>0.15</v>
      </c>
      <c r="M91" s="3">
        <f t="shared" si="44"/>
        <v>2769.3</v>
      </c>
      <c r="N91" s="5">
        <f t="shared" si="45"/>
        <v>3101.616</v>
      </c>
      <c r="O91" s="9"/>
    </row>
    <row r="92" spans="1:15" x14ac:dyDescent="0.3">
      <c r="A92" s="1">
        <v>91</v>
      </c>
      <c r="C92" s="2" t="s">
        <v>79</v>
      </c>
      <c r="D92" s="2" t="s">
        <v>134</v>
      </c>
      <c r="E92" s="1" t="s">
        <v>136</v>
      </c>
      <c r="F92" s="3">
        <v>7440</v>
      </c>
      <c r="G92" s="4">
        <v>0.12</v>
      </c>
      <c r="H92" s="3">
        <f t="shared" si="41"/>
        <v>8332.7999999999993</v>
      </c>
      <c r="I92" s="9">
        <v>0.4</v>
      </c>
      <c r="J92" s="3">
        <f t="shared" si="42"/>
        <v>4464</v>
      </c>
      <c r="K92" s="3">
        <f t="shared" si="43"/>
        <v>4999.68</v>
      </c>
      <c r="L92" s="9">
        <v>0.15</v>
      </c>
      <c r="M92" s="3">
        <f t="shared" si="44"/>
        <v>3794.4</v>
      </c>
      <c r="N92" s="5">
        <f t="shared" si="45"/>
        <v>4249.7280000000001</v>
      </c>
      <c r="O92" s="9"/>
    </row>
    <row r="93" spans="1:15" x14ac:dyDescent="0.3">
      <c r="A93" s="1">
        <v>92</v>
      </c>
      <c r="C93" s="2" t="s">
        <v>80</v>
      </c>
      <c r="D93" s="2" t="s">
        <v>134</v>
      </c>
      <c r="E93" s="1" t="s">
        <v>136</v>
      </c>
      <c r="F93" s="3">
        <v>10260</v>
      </c>
      <c r="G93" s="4">
        <v>0.12</v>
      </c>
      <c r="H93" s="3">
        <f t="shared" si="41"/>
        <v>11491.2</v>
      </c>
      <c r="I93" s="9">
        <v>0.4</v>
      </c>
      <c r="J93" s="3">
        <f t="shared" si="42"/>
        <v>6156</v>
      </c>
      <c r="K93" s="3">
        <f t="shared" si="43"/>
        <v>6894.72</v>
      </c>
      <c r="L93" s="9">
        <v>0.15</v>
      </c>
      <c r="M93" s="3">
        <f t="shared" si="44"/>
        <v>5232.6000000000004</v>
      </c>
      <c r="N93" s="5">
        <f t="shared" si="45"/>
        <v>5860.5120000000006</v>
      </c>
      <c r="O93" s="9"/>
    </row>
    <row r="94" spans="1:15" x14ac:dyDescent="0.3">
      <c r="A94" s="1">
        <v>93</v>
      </c>
      <c r="C94" s="2" t="s">
        <v>81</v>
      </c>
      <c r="D94" s="2" t="s">
        <v>134</v>
      </c>
      <c r="E94" s="1" t="s">
        <v>136</v>
      </c>
      <c r="F94" s="3">
        <v>22710</v>
      </c>
      <c r="G94" s="4">
        <v>0.18</v>
      </c>
      <c r="H94" s="3">
        <f t="shared" si="41"/>
        <v>26797.8</v>
      </c>
      <c r="I94" s="9">
        <v>0.4</v>
      </c>
      <c r="J94" s="3">
        <f t="shared" si="42"/>
        <v>13626</v>
      </c>
      <c r="K94" s="3">
        <f t="shared" si="43"/>
        <v>16078.68</v>
      </c>
      <c r="L94" s="9">
        <v>0.15</v>
      </c>
      <c r="M94" s="3">
        <f t="shared" si="44"/>
        <v>11582.1</v>
      </c>
      <c r="N94" s="5">
        <f t="shared" si="45"/>
        <v>13666.878000000001</v>
      </c>
      <c r="O94" s="9"/>
    </row>
    <row r="95" spans="1:15" x14ac:dyDescent="0.3">
      <c r="A95" s="1">
        <v>94</v>
      </c>
      <c r="C95" s="2" t="s">
        <v>82</v>
      </c>
      <c r="D95" s="2" t="s">
        <v>134</v>
      </c>
      <c r="E95" s="1" t="s">
        <v>136</v>
      </c>
      <c r="F95" s="3">
        <v>20250</v>
      </c>
      <c r="G95" s="4">
        <v>0.18</v>
      </c>
      <c r="H95" s="3">
        <f t="shared" si="41"/>
        <v>23895</v>
      </c>
      <c r="I95" s="9">
        <v>0.4</v>
      </c>
      <c r="J95" s="3">
        <f t="shared" si="42"/>
        <v>12150</v>
      </c>
      <c r="K95" s="3">
        <f t="shared" si="43"/>
        <v>14337</v>
      </c>
      <c r="L95" s="9">
        <v>0.15</v>
      </c>
      <c r="M95" s="3">
        <f t="shared" si="44"/>
        <v>10327.5</v>
      </c>
      <c r="N95" s="5">
        <f t="shared" si="45"/>
        <v>12186.45</v>
      </c>
      <c r="O95" s="9"/>
    </row>
    <row r="96" spans="1:15" x14ac:dyDescent="0.3">
      <c r="A96" s="1">
        <v>95</v>
      </c>
      <c r="C96" s="2" t="s">
        <v>83</v>
      </c>
      <c r="D96" s="2" t="s">
        <v>134</v>
      </c>
      <c r="E96" s="1" t="s">
        <v>136</v>
      </c>
      <c r="F96" s="3">
        <v>16920</v>
      </c>
      <c r="G96" s="4">
        <v>0.18</v>
      </c>
      <c r="H96" s="3">
        <f t="shared" si="41"/>
        <v>19965.599999999999</v>
      </c>
      <c r="I96" s="9">
        <v>0.4</v>
      </c>
      <c r="J96" s="3">
        <f t="shared" si="42"/>
        <v>10152</v>
      </c>
      <c r="K96" s="3">
        <f t="shared" si="43"/>
        <v>11979.36</v>
      </c>
      <c r="L96" s="9">
        <v>0.15</v>
      </c>
      <c r="M96" s="3">
        <f t="shared" si="44"/>
        <v>8629.2000000000007</v>
      </c>
      <c r="N96" s="5">
        <f t="shared" si="45"/>
        <v>10182.456</v>
      </c>
      <c r="O96" s="9"/>
    </row>
    <row r="97" spans="1:15" x14ac:dyDescent="0.3">
      <c r="A97" s="1">
        <v>96</v>
      </c>
      <c r="C97" s="2" t="s">
        <v>84</v>
      </c>
      <c r="D97" s="2" t="s">
        <v>134</v>
      </c>
      <c r="E97" s="1" t="s">
        <v>136</v>
      </c>
      <c r="F97" s="3">
        <v>22860</v>
      </c>
      <c r="G97" s="4">
        <v>0.18</v>
      </c>
      <c r="H97" s="3">
        <f t="shared" si="41"/>
        <v>26974.799999999999</v>
      </c>
      <c r="I97" s="9">
        <v>0.4</v>
      </c>
      <c r="J97" s="3">
        <f t="shared" si="42"/>
        <v>13716</v>
      </c>
      <c r="K97" s="3">
        <f t="shared" si="43"/>
        <v>16184.880000000001</v>
      </c>
      <c r="L97" s="9">
        <v>0.15</v>
      </c>
      <c r="M97" s="3">
        <f t="shared" si="44"/>
        <v>11658.6</v>
      </c>
      <c r="N97" s="5">
        <f t="shared" si="45"/>
        <v>13757.148000000001</v>
      </c>
      <c r="O97" s="9"/>
    </row>
    <row r="98" spans="1:15" x14ac:dyDescent="0.3">
      <c r="A98" s="1">
        <v>97</v>
      </c>
      <c r="C98" s="2" t="s">
        <v>85</v>
      </c>
      <c r="D98" s="2" t="s">
        <v>134</v>
      </c>
      <c r="E98" s="1" t="s">
        <v>136</v>
      </c>
      <c r="F98" s="3">
        <v>35550</v>
      </c>
      <c r="G98" s="4">
        <v>0.18</v>
      </c>
      <c r="H98" s="3">
        <f t="shared" si="41"/>
        <v>41949</v>
      </c>
      <c r="I98" s="9">
        <v>0.4</v>
      </c>
      <c r="J98" s="3">
        <f t="shared" si="42"/>
        <v>21330</v>
      </c>
      <c r="K98" s="3">
        <f t="shared" si="43"/>
        <v>25169.4</v>
      </c>
      <c r="L98" s="9">
        <v>0.15</v>
      </c>
      <c r="M98" s="3">
        <f t="shared" si="44"/>
        <v>18130.5</v>
      </c>
      <c r="N98" s="5">
        <f t="shared" si="45"/>
        <v>21393.989999999998</v>
      </c>
      <c r="O98" s="9"/>
    </row>
    <row r="99" spans="1:15" x14ac:dyDescent="0.3">
      <c r="A99" s="1">
        <v>98</v>
      </c>
      <c r="C99" s="2" t="s">
        <v>86</v>
      </c>
      <c r="D99" s="2" t="s">
        <v>134</v>
      </c>
      <c r="E99" s="1" t="s">
        <v>136</v>
      </c>
      <c r="F99" s="3">
        <v>30000</v>
      </c>
      <c r="G99" s="4">
        <v>0.18</v>
      </c>
      <c r="H99" s="3">
        <f t="shared" si="41"/>
        <v>35400</v>
      </c>
      <c r="I99" s="9">
        <v>0.4</v>
      </c>
      <c r="J99" s="3">
        <f t="shared" si="42"/>
        <v>18000</v>
      </c>
      <c r="K99" s="3">
        <f t="shared" si="43"/>
        <v>21240</v>
      </c>
      <c r="L99" s="9">
        <v>0.15</v>
      </c>
      <c r="M99" s="3">
        <f t="shared" si="44"/>
        <v>15300</v>
      </c>
      <c r="N99" s="5">
        <f t="shared" si="45"/>
        <v>18054</v>
      </c>
      <c r="O99" s="9"/>
    </row>
    <row r="100" spans="1:15" x14ac:dyDescent="0.3">
      <c r="A100" s="1">
        <v>99</v>
      </c>
      <c r="C100" s="2" t="s">
        <v>87</v>
      </c>
      <c r="D100" s="2" t="s">
        <v>134</v>
      </c>
      <c r="E100" s="1" t="s">
        <v>136</v>
      </c>
      <c r="F100" s="3">
        <v>11700</v>
      </c>
      <c r="G100" s="4">
        <v>0.18</v>
      </c>
      <c r="H100" s="3">
        <f t="shared" si="41"/>
        <v>13806</v>
      </c>
      <c r="I100" s="9">
        <v>0.4</v>
      </c>
      <c r="J100" s="3">
        <f t="shared" si="42"/>
        <v>7020</v>
      </c>
      <c r="K100" s="3">
        <f t="shared" si="43"/>
        <v>8283.6</v>
      </c>
      <c r="L100" s="9">
        <v>0.15</v>
      </c>
      <c r="M100" s="3">
        <f t="shared" si="44"/>
        <v>5967</v>
      </c>
      <c r="N100" s="5">
        <f t="shared" si="45"/>
        <v>7041.0599999999995</v>
      </c>
      <c r="O100" s="9"/>
    </row>
    <row r="101" spans="1:15" x14ac:dyDescent="0.3">
      <c r="A101" s="1">
        <v>100</v>
      </c>
      <c r="C101" s="2" t="s">
        <v>88</v>
      </c>
      <c r="D101" s="2" t="s">
        <v>134</v>
      </c>
      <c r="E101" s="1" t="s">
        <v>136</v>
      </c>
      <c r="F101" s="3">
        <v>17340</v>
      </c>
      <c r="G101" s="4">
        <v>0.18</v>
      </c>
      <c r="H101" s="3">
        <f t="shared" si="41"/>
        <v>20461.2</v>
      </c>
      <c r="I101" s="9">
        <v>0.4</v>
      </c>
      <c r="J101" s="3">
        <f t="shared" si="42"/>
        <v>10404</v>
      </c>
      <c r="K101" s="3">
        <f t="shared" si="43"/>
        <v>12276.72</v>
      </c>
      <c r="L101" s="9">
        <v>0.15</v>
      </c>
      <c r="M101" s="3">
        <f t="shared" si="44"/>
        <v>8843.4</v>
      </c>
      <c r="N101" s="5">
        <f t="shared" si="45"/>
        <v>10435.212</v>
      </c>
      <c r="O101" s="9"/>
    </row>
    <row r="102" spans="1:15" x14ac:dyDescent="0.3">
      <c r="A102" s="1">
        <v>101</v>
      </c>
      <c r="C102" s="2" t="s">
        <v>89</v>
      </c>
      <c r="D102" s="2" t="s">
        <v>134</v>
      </c>
      <c r="E102" s="1" t="s">
        <v>136</v>
      </c>
      <c r="F102" s="3">
        <v>28350</v>
      </c>
      <c r="G102" s="4">
        <v>0.18</v>
      </c>
      <c r="H102" s="3">
        <f t="shared" si="41"/>
        <v>33453</v>
      </c>
      <c r="I102" s="9">
        <v>0.4</v>
      </c>
      <c r="J102" s="3">
        <f t="shared" si="42"/>
        <v>17010</v>
      </c>
      <c r="K102" s="3">
        <f t="shared" si="43"/>
        <v>20071.8</v>
      </c>
      <c r="L102" s="9">
        <v>0.15</v>
      </c>
      <c r="M102" s="3">
        <f t="shared" si="44"/>
        <v>14458.5</v>
      </c>
      <c r="N102" s="5">
        <f t="shared" si="45"/>
        <v>17061.03</v>
      </c>
      <c r="O102" s="9"/>
    </row>
    <row r="103" spans="1:15" x14ac:dyDescent="0.3">
      <c r="A103" s="1">
        <v>102</v>
      </c>
      <c r="C103" s="2" t="s">
        <v>90</v>
      </c>
      <c r="D103" s="2" t="s">
        <v>134</v>
      </c>
      <c r="E103" s="1" t="s">
        <v>136</v>
      </c>
      <c r="F103" s="3">
        <v>64800</v>
      </c>
      <c r="G103" s="4">
        <v>0.18</v>
      </c>
      <c r="H103" s="3">
        <f t="shared" si="41"/>
        <v>76464</v>
      </c>
      <c r="I103" s="9">
        <v>0.4</v>
      </c>
      <c r="J103" s="3">
        <f t="shared" si="42"/>
        <v>38880</v>
      </c>
      <c r="K103" s="3">
        <f t="shared" si="43"/>
        <v>45878.400000000001</v>
      </c>
      <c r="L103" s="9">
        <v>0.15</v>
      </c>
      <c r="M103" s="3">
        <f t="shared" si="44"/>
        <v>33048</v>
      </c>
      <c r="N103" s="5">
        <f t="shared" si="45"/>
        <v>38996.639999999999</v>
      </c>
      <c r="O103" s="9"/>
    </row>
    <row r="104" spans="1:15" x14ac:dyDescent="0.3">
      <c r="A104" s="1">
        <v>103</v>
      </c>
      <c r="C104" s="2" t="s">
        <v>91</v>
      </c>
      <c r="D104" s="2" t="s">
        <v>134</v>
      </c>
      <c r="E104" s="1" t="s">
        <v>136</v>
      </c>
      <c r="F104" s="3">
        <v>89400</v>
      </c>
      <c r="G104" s="4">
        <v>0.18</v>
      </c>
      <c r="H104" s="3">
        <f t="shared" si="41"/>
        <v>105492</v>
      </c>
      <c r="I104" s="9">
        <v>0.4</v>
      </c>
      <c r="J104" s="3">
        <f t="shared" si="42"/>
        <v>53640</v>
      </c>
      <c r="K104" s="3">
        <f t="shared" si="43"/>
        <v>63295.199999999997</v>
      </c>
      <c r="L104" s="9">
        <v>0.15</v>
      </c>
      <c r="M104" s="3">
        <f t="shared" si="44"/>
        <v>45594</v>
      </c>
      <c r="N104" s="5">
        <f t="shared" si="45"/>
        <v>53800.92</v>
      </c>
      <c r="O104" s="9"/>
    </row>
    <row r="105" spans="1:15" x14ac:dyDescent="0.3">
      <c r="A105" s="1">
        <v>104</v>
      </c>
      <c r="C105" s="2" t="s">
        <v>92</v>
      </c>
      <c r="D105" s="2" t="s">
        <v>134</v>
      </c>
      <c r="E105" s="1" t="s">
        <v>136</v>
      </c>
      <c r="F105" s="3">
        <v>1350</v>
      </c>
      <c r="G105" s="4">
        <v>0.12</v>
      </c>
      <c r="H105" s="3">
        <f t="shared" si="41"/>
        <v>1512</v>
      </c>
      <c r="I105" s="9">
        <v>0.4</v>
      </c>
      <c r="J105" s="3">
        <f t="shared" si="42"/>
        <v>810</v>
      </c>
      <c r="K105" s="3">
        <f t="shared" si="43"/>
        <v>907.2</v>
      </c>
      <c r="L105" s="9">
        <v>0.15</v>
      </c>
      <c r="M105" s="3">
        <f t="shared" si="44"/>
        <v>688.5</v>
      </c>
      <c r="N105" s="5">
        <f t="shared" si="45"/>
        <v>771.12</v>
      </c>
      <c r="O105" s="9"/>
    </row>
    <row r="106" spans="1:15" x14ac:dyDescent="0.3">
      <c r="A106" s="1">
        <v>105</v>
      </c>
      <c r="C106" s="2" t="s">
        <v>93</v>
      </c>
      <c r="D106" s="2" t="s">
        <v>134</v>
      </c>
      <c r="E106" s="1" t="s">
        <v>136</v>
      </c>
      <c r="F106" s="3">
        <v>17460</v>
      </c>
      <c r="G106" s="4">
        <v>0.12</v>
      </c>
      <c r="H106" s="3">
        <f t="shared" si="41"/>
        <v>19555.2</v>
      </c>
      <c r="I106" s="9">
        <v>0.4</v>
      </c>
      <c r="J106" s="3">
        <f t="shared" si="42"/>
        <v>10476</v>
      </c>
      <c r="K106" s="3">
        <f t="shared" si="43"/>
        <v>11733.119999999999</v>
      </c>
      <c r="L106" s="9">
        <v>0.15</v>
      </c>
      <c r="M106" s="3">
        <f t="shared" si="44"/>
        <v>8904.6</v>
      </c>
      <c r="N106" s="5">
        <f t="shared" si="45"/>
        <v>9973.152</v>
      </c>
      <c r="O106" s="9"/>
    </row>
    <row r="107" spans="1:15" x14ac:dyDescent="0.3">
      <c r="A107" s="1">
        <v>106</v>
      </c>
      <c r="C107" s="2" t="s">
        <v>94</v>
      </c>
      <c r="D107" s="2" t="s">
        <v>134</v>
      </c>
      <c r="E107" s="1" t="s">
        <v>136</v>
      </c>
      <c r="F107" s="3">
        <v>19200</v>
      </c>
      <c r="G107" s="4">
        <v>0.12</v>
      </c>
      <c r="H107" s="3">
        <f t="shared" si="41"/>
        <v>21504</v>
      </c>
      <c r="I107" s="9">
        <v>0.4</v>
      </c>
      <c r="J107" s="3">
        <f t="shared" si="42"/>
        <v>11520</v>
      </c>
      <c r="K107" s="3">
        <f t="shared" si="43"/>
        <v>12902.4</v>
      </c>
      <c r="L107" s="9">
        <v>0.15</v>
      </c>
      <c r="M107" s="3">
        <f t="shared" si="44"/>
        <v>9792</v>
      </c>
      <c r="N107" s="5">
        <f t="shared" si="45"/>
        <v>10967.04</v>
      </c>
      <c r="O107" s="9"/>
    </row>
    <row r="108" spans="1:15" x14ac:dyDescent="0.3">
      <c r="A108" s="1">
        <v>107</v>
      </c>
      <c r="C108" s="2" t="s">
        <v>95</v>
      </c>
      <c r="D108" s="2" t="s">
        <v>134</v>
      </c>
      <c r="E108" s="1" t="s">
        <v>136</v>
      </c>
      <c r="F108" s="3">
        <v>20970</v>
      </c>
      <c r="G108" s="4">
        <v>0.12</v>
      </c>
      <c r="H108" s="3">
        <f t="shared" si="41"/>
        <v>23486.400000000001</v>
      </c>
      <c r="I108" s="9">
        <v>0.4</v>
      </c>
      <c r="J108" s="3">
        <f t="shared" si="42"/>
        <v>12582</v>
      </c>
      <c r="K108" s="3">
        <f t="shared" si="43"/>
        <v>14091.84</v>
      </c>
      <c r="L108" s="9">
        <v>0.15</v>
      </c>
      <c r="M108" s="3">
        <f t="shared" si="44"/>
        <v>10694.7</v>
      </c>
      <c r="N108" s="5">
        <f t="shared" si="45"/>
        <v>11978.064</v>
      </c>
      <c r="O108" s="9"/>
    </row>
    <row r="109" spans="1:15" x14ac:dyDescent="0.3">
      <c r="A109" s="1">
        <v>108</v>
      </c>
      <c r="C109" s="2" t="s">
        <v>96</v>
      </c>
      <c r="D109" s="2" t="s">
        <v>134</v>
      </c>
      <c r="E109" s="1" t="s">
        <v>136</v>
      </c>
      <c r="F109" s="3">
        <v>23310</v>
      </c>
      <c r="G109" s="4">
        <v>0.12</v>
      </c>
      <c r="H109" s="3">
        <f t="shared" si="41"/>
        <v>26107.200000000001</v>
      </c>
      <c r="I109" s="9">
        <v>0.4</v>
      </c>
      <c r="J109" s="3">
        <f t="shared" si="42"/>
        <v>13986</v>
      </c>
      <c r="K109" s="3">
        <f t="shared" si="43"/>
        <v>15664.32</v>
      </c>
      <c r="L109" s="9">
        <v>0.15</v>
      </c>
      <c r="M109" s="3">
        <f t="shared" si="44"/>
        <v>11888.1</v>
      </c>
      <c r="N109" s="5">
        <f t="shared" si="45"/>
        <v>13314.672</v>
      </c>
      <c r="O109" s="9"/>
    </row>
    <row r="110" spans="1:15" x14ac:dyDescent="0.3">
      <c r="A110" s="1">
        <v>109</v>
      </c>
      <c r="C110" s="2" t="s">
        <v>97</v>
      </c>
      <c r="D110" s="2" t="s">
        <v>134</v>
      </c>
      <c r="E110" s="1" t="s">
        <v>136</v>
      </c>
      <c r="F110" s="3">
        <v>26100</v>
      </c>
      <c r="G110" s="4">
        <v>0.12</v>
      </c>
      <c r="H110" s="3">
        <f t="shared" si="41"/>
        <v>29232</v>
      </c>
      <c r="I110" s="9">
        <v>0.4</v>
      </c>
      <c r="J110" s="3">
        <f t="shared" si="42"/>
        <v>15660</v>
      </c>
      <c r="K110" s="3">
        <f t="shared" si="43"/>
        <v>17539.2</v>
      </c>
      <c r="L110" s="9">
        <v>0.15</v>
      </c>
      <c r="M110" s="3">
        <f t="shared" si="44"/>
        <v>13311</v>
      </c>
      <c r="N110" s="5">
        <f t="shared" si="45"/>
        <v>14908.32</v>
      </c>
      <c r="O110" s="9"/>
    </row>
    <row r="111" spans="1:15" x14ac:dyDescent="0.3">
      <c r="A111" s="1">
        <v>110</v>
      </c>
      <c r="C111" s="2" t="s">
        <v>98</v>
      </c>
      <c r="D111" s="2" t="s">
        <v>134</v>
      </c>
      <c r="E111" s="1" t="s">
        <v>136</v>
      </c>
      <c r="F111" s="3">
        <v>23820</v>
      </c>
      <c r="G111" s="4">
        <v>0.12</v>
      </c>
      <c r="H111" s="3">
        <f t="shared" si="41"/>
        <v>26678.400000000001</v>
      </c>
      <c r="I111" s="9">
        <v>0.4</v>
      </c>
      <c r="J111" s="3">
        <f t="shared" si="42"/>
        <v>14292</v>
      </c>
      <c r="K111" s="3">
        <f t="shared" si="43"/>
        <v>16007.04</v>
      </c>
      <c r="L111" s="9">
        <v>0.15</v>
      </c>
      <c r="M111" s="3">
        <f t="shared" si="44"/>
        <v>12148.2</v>
      </c>
      <c r="N111" s="5">
        <f t="shared" si="45"/>
        <v>13605.984</v>
      </c>
      <c r="O111" s="9"/>
    </row>
    <row r="112" spans="1:15" x14ac:dyDescent="0.3">
      <c r="A112" s="1">
        <v>111</v>
      </c>
      <c r="C112" s="2" t="s">
        <v>99</v>
      </c>
      <c r="D112" s="2" t="s">
        <v>134</v>
      </c>
      <c r="E112" s="1" t="s">
        <v>136</v>
      </c>
      <c r="F112" s="3">
        <v>27390</v>
      </c>
      <c r="G112" s="4">
        <v>0.12</v>
      </c>
      <c r="H112" s="3">
        <f t="shared" si="41"/>
        <v>30676.799999999999</v>
      </c>
      <c r="I112" s="9">
        <v>0.4</v>
      </c>
      <c r="J112" s="3">
        <f t="shared" si="42"/>
        <v>16434</v>
      </c>
      <c r="K112" s="3">
        <f t="shared" si="43"/>
        <v>18406.080000000002</v>
      </c>
      <c r="L112" s="9">
        <v>0.15</v>
      </c>
      <c r="M112" s="3">
        <f t="shared" si="44"/>
        <v>13968.9</v>
      </c>
      <c r="N112" s="5">
        <f t="shared" si="45"/>
        <v>15645.168</v>
      </c>
      <c r="O112" s="9"/>
    </row>
    <row r="113" spans="1:15" x14ac:dyDescent="0.3">
      <c r="A113" s="1">
        <v>112</v>
      </c>
      <c r="C113" s="2" t="s">
        <v>100</v>
      </c>
      <c r="D113" s="2" t="s">
        <v>134</v>
      </c>
      <c r="E113" s="1" t="s">
        <v>136</v>
      </c>
      <c r="F113" s="3">
        <v>29370</v>
      </c>
      <c r="G113" s="4">
        <v>0.12</v>
      </c>
      <c r="H113" s="3">
        <f t="shared" si="41"/>
        <v>32894.400000000001</v>
      </c>
      <c r="I113" s="9">
        <v>0.4</v>
      </c>
      <c r="J113" s="3">
        <f t="shared" si="42"/>
        <v>17622</v>
      </c>
      <c r="K113" s="3">
        <f t="shared" si="43"/>
        <v>19736.64</v>
      </c>
      <c r="L113" s="9">
        <v>0.15</v>
      </c>
      <c r="M113" s="3">
        <f t="shared" si="44"/>
        <v>14978.7</v>
      </c>
      <c r="N113" s="5">
        <f t="shared" si="45"/>
        <v>16776.144</v>
      </c>
      <c r="O113" s="9"/>
    </row>
    <row r="114" spans="1:15" x14ac:dyDescent="0.3">
      <c r="A114" s="1">
        <v>113</v>
      </c>
      <c r="C114" s="2" t="s">
        <v>101</v>
      </c>
      <c r="D114" s="2" t="s">
        <v>134</v>
      </c>
      <c r="E114" s="1" t="s">
        <v>136</v>
      </c>
      <c r="F114" s="3">
        <v>34950</v>
      </c>
      <c r="G114" s="4">
        <v>0.12</v>
      </c>
      <c r="H114" s="3">
        <f t="shared" si="41"/>
        <v>39144</v>
      </c>
      <c r="I114" s="9">
        <v>0.4</v>
      </c>
      <c r="J114" s="3">
        <f t="shared" si="42"/>
        <v>20970</v>
      </c>
      <c r="K114" s="3">
        <f t="shared" si="43"/>
        <v>23486.400000000001</v>
      </c>
      <c r="L114" s="9">
        <v>0.15</v>
      </c>
      <c r="M114" s="3">
        <f t="shared" si="44"/>
        <v>17824.5</v>
      </c>
      <c r="N114" s="5">
        <f t="shared" si="45"/>
        <v>19963.439999999999</v>
      </c>
      <c r="O114" s="9"/>
    </row>
    <row r="115" spans="1:15" x14ac:dyDescent="0.3">
      <c r="A115" s="1">
        <v>114</v>
      </c>
      <c r="C115" s="2" t="s">
        <v>102</v>
      </c>
      <c r="D115" s="2" t="s">
        <v>134</v>
      </c>
      <c r="E115" s="1" t="s">
        <v>136</v>
      </c>
      <c r="F115" s="3">
        <v>40200</v>
      </c>
      <c r="G115" s="4">
        <v>0.12</v>
      </c>
      <c r="H115" s="3">
        <f t="shared" si="41"/>
        <v>45024</v>
      </c>
      <c r="I115" s="9">
        <v>0.4</v>
      </c>
      <c r="J115" s="3">
        <f t="shared" si="42"/>
        <v>24120</v>
      </c>
      <c r="K115" s="3">
        <f t="shared" si="43"/>
        <v>27014.400000000001</v>
      </c>
      <c r="L115" s="9">
        <v>0.15</v>
      </c>
      <c r="M115" s="3">
        <f t="shared" si="44"/>
        <v>20502</v>
      </c>
      <c r="N115" s="5">
        <f t="shared" si="45"/>
        <v>22962.239999999998</v>
      </c>
      <c r="O115" s="9"/>
    </row>
    <row r="116" spans="1:15" x14ac:dyDescent="0.3">
      <c r="A116" s="1">
        <v>115</v>
      </c>
      <c r="C116" s="2" t="s">
        <v>103</v>
      </c>
      <c r="D116" s="2" t="s">
        <v>134</v>
      </c>
      <c r="E116" s="1" t="s">
        <v>136</v>
      </c>
      <c r="F116" s="3">
        <v>36570</v>
      </c>
      <c r="G116" s="4">
        <v>0.12</v>
      </c>
      <c r="H116" s="3">
        <f t="shared" si="41"/>
        <v>40958.400000000001</v>
      </c>
      <c r="I116" s="9">
        <v>0.4</v>
      </c>
      <c r="J116" s="3">
        <f t="shared" si="42"/>
        <v>21942</v>
      </c>
      <c r="K116" s="3">
        <f t="shared" si="43"/>
        <v>24575.040000000001</v>
      </c>
      <c r="L116" s="9">
        <v>0.15</v>
      </c>
      <c r="M116" s="3">
        <f t="shared" si="44"/>
        <v>18650.7</v>
      </c>
      <c r="N116" s="5">
        <f t="shared" si="45"/>
        <v>20888.784</v>
      </c>
      <c r="O116" s="9"/>
    </row>
    <row r="117" spans="1:15" x14ac:dyDescent="0.3">
      <c r="A117" s="1">
        <v>116</v>
      </c>
      <c r="C117" s="2" t="s">
        <v>104</v>
      </c>
      <c r="D117" s="2" t="s">
        <v>134</v>
      </c>
      <c r="E117" s="1" t="s">
        <v>136</v>
      </c>
      <c r="F117" s="3">
        <v>41880</v>
      </c>
      <c r="G117" s="4">
        <v>0.12</v>
      </c>
      <c r="H117" s="3">
        <f t="shared" si="41"/>
        <v>46905.599999999999</v>
      </c>
      <c r="I117" s="9">
        <v>0.4</v>
      </c>
      <c r="J117" s="3">
        <f t="shared" si="42"/>
        <v>25128</v>
      </c>
      <c r="K117" s="3">
        <f t="shared" si="43"/>
        <v>28143.360000000001</v>
      </c>
      <c r="L117" s="9">
        <v>0.15</v>
      </c>
      <c r="M117" s="3">
        <f t="shared" si="44"/>
        <v>21358.799999999999</v>
      </c>
      <c r="N117" s="5">
        <f t="shared" si="45"/>
        <v>23921.856</v>
      </c>
      <c r="O117" s="9"/>
    </row>
    <row r="118" spans="1:15" x14ac:dyDescent="0.3">
      <c r="A118" s="1">
        <v>117</v>
      </c>
      <c r="C118" s="2" t="s">
        <v>105</v>
      </c>
      <c r="D118" s="2" t="s">
        <v>134</v>
      </c>
      <c r="E118" s="1" t="s">
        <v>136</v>
      </c>
      <c r="F118" s="3">
        <v>44820</v>
      </c>
      <c r="G118" s="4">
        <v>0.12</v>
      </c>
      <c r="H118" s="3">
        <f t="shared" si="41"/>
        <v>50198.400000000001</v>
      </c>
      <c r="I118" s="9">
        <v>0.4</v>
      </c>
      <c r="J118" s="3">
        <f t="shared" si="42"/>
        <v>26892</v>
      </c>
      <c r="K118" s="3">
        <f t="shared" si="43"/>
        <v>30119.040000000001</v>
      </c>
      <c r="L118" s="9">
        <v>0.15</v>
      </c>
      <c r="M118" s="3">
        <f t="shared" si="44"/>
        <v>22858.2</v>
      </c>
      <c r="N118" s="5">
        <f t="shared" si="45"/>
        <v>25601.184000000001</v>
      </c>
      <c r="O118" s="9"/>
    </row>
    <row r="119" spans="1:15" x14ac:dyDescent="0.3">
      <c r="A119" s="1">
        <v>118</v>
      </c>
      <c r="C119" s="2" t="s">
        <v>106</v>
      </c>
      <c r="D119" s="2" t="s">
        <v>134</v>
      </c>
      <c r="E119" s="1" t="s">
        <v>136</v>
      </c>
      <c r="F119" s="3">
        <v>49290</v>
      </c>
      <c r="G119" s="4">
        <v>0.12</v>
      </c>
      <c r="H119" s="3">
        <f t="shared" si="41"/>
        <v>55204.800000000003</v>
      </c>
      <c r="I119" s="9">
        <v>0.4</v>
      </c>
      <c r="J119" s="3">
        <f t="shared" si="42"/>
        <v>29574</v>
      </c>
      <c r="K119" s="3">
        <f t="shared" si="43"/>
        <v>33122.879999999997</v>
      </c>
      <c r="L119" s="9">
        <v>0.15</v>
      </c>
      <c r="M119" s="3">
        <f t="shared" si="44"/>
        <v>25137.9</v>
      </c>
      <c r="N119" s="5">
        <f t="shared" si="45"/>
        <v>28154.448</v>
      </c>
      <c r="O119" s="9"/>
    </row>
    <row r="120" spans="1:15" x14ac:dyDescent="0.3">
      <c r="A120" s="1">
        <v>119</v>
      </c>
      <c r="C120" s="2" t="s">
        <v>107</v>
      </c>
      <c r="D120" s="2" t="s">
        <v>134</v>
      </c>
      <c r="E120" s="1" t="s">
        <v>136</v>
      </c>
      <c r="F120" s="3">
        <v>56820</v>
      </c>
      <c r="G120" s="4">
        <v>0.12</v>
      </c>
      <c r="H120" s="3">
        <f t="shared" si="41"/>
        <v>63638.400000000001</v>
      </c>
      <c r="I120" s="9">
        <v>0.4</v>
      </c>
      <c r="J120" s="3">
        <f t="shared" si="42"/>
        <v>34092</v>
      </c>
      <c r="K120" s="3">
        <f t="shared" si="43"/>
        <v>38183.040000000001</v>
      </c>
      <c r="L120" s="9">
        <v>0.15</v>
      </c>
      <c r="M120" s="3">
        <f t="shared" si="44"/>
        <v>28978.2</v>
      </c>
      <c r="N120" s="5">
        <f t="shared" si="45"/>
        <v>32455.584000000003</v>
      </c>
      <c r="O120" s="9"/>
    </row>
    <row r="121" spans="1:15" x14ac:dyDescent="0.3">
      <c r="A121" s="1">
        <v>120</v>
      </c>
      <c r="C121" s="2" t="s">
        <v>108</v>
      </c>
      <c r="D121" s="2" t="s">
        <v>134</v>
      </c>
      <c r="E121" s="1" t="s">
        <v>136</v>
      </c>
      <c r="F121" s="3">
        <v>16860</v>
      </c>
      <c r="G121" s="4">
        <v>0.12</v>
      </c>
      <c r="H121" s="3">
        <f t="shared" si="41"/>
        <v>18883.2</v>
      </c>
      <c r="I121" s="9">
        <v>0.4</v>
      </c>
      <c r="J121" s="3">
        <f t="shared" si="42"/>
        <v>10116</v>
      </c>
      <c r="K121" s="3">
        <f t="shared" si="43"/>
        <v>11329.92</v>
      </c>
      <c r="L121" s="9">
        <v>0.15</v>
      </c>
      <c r="M121" s="3">
        <f t="shared" si="44"/>
        <v>8598.6</v>
      </c>
      <c r="N121" s="5">
        <f t="shared" si="45"/>
        <v>9630.4320000000007</v>
      </c>
      <c r="O121" s="9"/>
    </row>
    <row r="122" spans="1:15" x14ac:dyDescent="0.3">
      <c r="A122" s="1">
        <v>121</v>
      </c>
      <c r="C122" s="2" t="s">
        <v>109</v>
      </c>
      <c r="D122" s="2" t="s">
        <v>134</v>
      </c>
      <c r="E122" s="1" t="s">
        <v>136</v>
      </c>
      <c r="F122" s="3">
        <v>17790</v>
      </c>
      <c r="G122" s="4">
        <v>0.12</v>
      </c>
      <c r="H122" s="3">
        <f t="shared" si="41"/>
        <v>19924.8</v>
      </c>
      <c r="I122" s="9">
        <v>0.4</v>
      </c>
      <c r="J122" s="3">
        <f t="shared" si="42"/>
        <v>10674</v>
      </c>
      <c r="K122" s="3">
        <f t="shared" si="43"/>
        <v>11954.88</v>
      </c>
      <c r="L122" s="9">
        <v>0.15</v>
      </c>
      <c r="M122" s="3">
        <f t="shared" si="44"/>
        <v>9072.9</v>
      </c>
      <c r="N122" s="5">
        <f t="shared" si="45"/>
        <v>10161.647999999999</v>
      </c>
      <c r="O122" s="9"/>
    </row>
    <row r="123" spans="1:15" x14ac:dyDescent="0.3">
      <c r="A123" s="1">
        <v>122</v>
      </c>
      <c r="C123" s="2" t="s">
        <v>110</v>
      </c>
      <c r="D123" s="2" t="s">
        <v>134</v>
      </c>
      <c r="E123" s="1" t="s">
        <v>136</v>
      </c>
      <c r="F123" s="3">
        <v>19200</v>
      </c>
      <c r="G123" s="4">
        <v>0.12</v>
      </c>
      <c r="H123" s="3">
        <f t="shared" si="41"/>
        <v>21504</v>
      </c>
      <c r="I123" s="9">
        <v>0.4</v>
      </c>
      <c r="J123" s="3">
        <f t="shared" si="42"/>
        <v>11520</v>
      </c>
      <c r="K123" s="3">
        <f t="shared" si="43"/>
        <v>12902.4</v>
      </c>
      <c r="L123" s="9">
        <v>0.15</v>
      </c>
      <c r="M123" s="3">
        <f t="shared" si="44"/>
        <v>9792</v>
      </c>
      <c r="N123" s="5">
        <f t="shared" si="45"/>
        <v>10967.04</v>
      </c>
      <c r="O123" s="9"/>
    </row>
    <row r="124" spans="1:15" x14ac:dyDescent="0.3">
      <c r="A124" s="1">
        <v>123</v>
      </c>
      <c r="C124" s="2" t="s">
        <v>111</v>
      </c>
      <c r="D124" s="2" t="s">
        <v>134</v>
      </c>
      <c r="E124" s="1" t="s">
        <v>136</v>
      </c>
      <c r="F124" s="3">
        <v>20790</v>
      </c>
      <c r="G124" s="4">
        <v>0.12</v>
      </c>
      <c r="H124" s="3">
        <f t="shared" si="41"/>
        <v>23284.799999999999</v>
      </c>
      <c r="I124" s="9">
        <v>0.4</v>
      </c>
      <c r="J124" s="3">
        <f t="shared" si="42"/>
        <v>12474</v>
      </c>
      <c r="K124" s="3">
        <f t="shared" si="43"/>
        <v>13970.88</v>
      </c>
      <c r="L124" s="9">
        <v>0.15</v>
      </c>
      <c r="M124" s="3">
        <f t="shared" si="44"/>
        <v>10602.9</v>
      </c>
      <c r="N124" s="5">
        <f t="shared" si="45"/>
        <v>11875.248</v>
      </c>
      <c r="O124" s="9"/>
    </row>
    <row r="125" spans="1:15" x14ac:dyDescent="0.3">
      <c r="A125" s="1">
        <v>124</v>
      </c>
      <c r="C125" s="2" t="s">
        <v>112</v>
      </c>
      <c r="D125" s="2" t="s">
        <v>134</v>
      </c>
      <c r="E125" s="1" t="s">
        <v>136</v>
      </c>
      <c r="F125" s="3">
        <v>16860</v>
      </c>
      <c r="G125" s="4">
        <v>0.12</v>
      </c>
      <c r="H125" s="3">
        <f t="shared" si="41"/>
        <v>18883.2</v>
      </c>
      <c r="I125" s="9">
        <v>0.4</v>
      </c>
      <c r="J125" s="3">
        <f t="shared" si="42"/>
        <v>10116</v>
      </c>
      <c r="K125" s="3">
        <f t="shared" si="43"/>
        <v>11329.92</v>
      </c>
      <c r="L125" s="9">
        <v>0.15</v>
      </c>
      <c r="M125" s="3">
        <f t="shared" si="44"/>
        <v>8598.6</v>
      </c>
      <c r="N125" s="5">
        <f t="shared" si="45"/>
        <v>9630.4320000000007</v>
      </c>
      <c r="O125" s="9"/>
    </row>
    <row r="126" spans="1:15" x14ac:dyDescent="0.3">
      <c r="A126" s="1">
        <v>125</v>
      </c>
      <c r="C126" s="2" t="s">
        <v>113</v>
      </c>
      <c r="D126" s="2" t="s">
        <v>134</v>
      </c>
      <c r="E126" s="1" t="s">
        <v>136</v>
      </c>
      <c r="F126" s="3">
        <v>17790</v>
      </c>
      <c r="G126" s="4">
        <v>0.12</v>
      </c>
      <c r="H126" s="3">
        <f t="shared" si="41"/>
        <v>19924.8</v>
      </c>
      <c r="I126" s="9">
        <v>0.4</v>
      </c>
      <c r="J126" s="3">
        <f t="shared" si="42"/>
        <v>10674</v>
      </c>
      <c r="K126" s="3">
        <f t="shared" si="43"/>
        <v>11954.88</v>
      </c>
      <c r="L126" s="9">
        <v>0.15</v>
      </c>
      <c r="M126" s="3">
        <f t="shared" si="44"/>
        <v>9072.9</v>
      </c>
      <c r="N126" s="5">
        <f t="shared" si="45"/>
        <v>10161.647999999999</v>
      </c>
      <c r="O126" s="9"/>
    </row>
    <row r="127" spans="1:15" x14ac:dyDescent="0.3">
      <c r="A127" s="1">
        <v>126</v>
      </c>
      <c r="C127" s="2" t="s">
        <v>114</v>
      </c>
      <c r="D127" s="2" t="s">
        <v>134</v>
      </c>
      <c r="E127" s="1" t="s">
        <v>136</v>
      </c>
      <c r="F127" s="3">
        <v>15120</v>
      </c>
      <c r="G127" s="4">
        <v>0.12</v>
      </c>
      <c r="H127" s="3">
        <f t="shared" si="41"/>
        <v>16934.400000000001</v>
      </c>
      <c r="I127" s="9">
        <v>0.4</v>
      </c>
      <c r="J127" s="3">
        <f t="shared" si="42"/>
        <v>9072</v>
      </c>
      <c r="K127" s="3">
        <f t="shared" si="43"/>
        <v>10160.64</v>
      </c>
      <c r="L127" s="9">
        <v>0.15</v>
      </c>
      <c r="M127" s="3">
        <f t="shared" si="44"/>
        <v>7711.2</v>
      </c>
      <c r="N127" s="5">
        <f t="shared" si="45"/>
        <v>8636.5439999999999</v>
      </c>
      <c r="O127" s="9"/>
    </row>
    <row r="128" spans="1:15" x14ac:dyDescent="0.3">
      <c r="A128" s="1">
        <v>127</v>
      </c>
      <c r="C128" s="2" t="s">
        <v>115</v>
      </c>
      <c r="D128" s="2" t="s">
        <v>134</v>
      </c>
      <c r="E128" s="1" t="s">
        <v>136</v>
      </c>
      <c r="F128" s="3">
        <v>18720</v>
      </c>
      <c r="G128" s="4">
        <v>0.12</v>
      </c>
      <c r="H128" s="3">
        <f t="shared" si="41"/>
        <v>20966.400000000001</v>
      </c>
      <c r="I128" s="9">
        <v>0.4</v>
      </c>
      <c r="J128" s="3">
        <f t="shared" si="42"/>
        <v>11232</v>
      </c>
      <c r="K128" s="3">
        <f t="shared" si="43"/>
        <v>12579.84</v>
      </c>
      <c r="L128" s="9">
        <v>0.15</v>
      </c>
      <c r="M128" s="3">
        <f t="shared" si="44"/>
        <v>9547.2000000000007</v>
      </c>
      <c r="N128" s="5">
        <f t="shared" si="45"/>
        <v>10692.864000000001</v>
      </c>
      <c r="O128" s="9"/>
    </row>
    <row r="129" spans="1:15" x14ac:dyDescent="0.3">
      <c r="A129" s="1">
        <v>128</v>
      </c>
      <c r="C129" s="2" t="s">
        <v>116</v>
      </c>
      <c r="D129" s="2" t="s">
        <v>134</v>
      </c>
      <c r="E129" s="1" t="s">
        <v>136</v>
      </c>
      <c r="F129" s="3">
        <v>11820</v>
      </c>
      <c r="G129" s="4">
        <v>0.12</v>
      </c>
      <c r="H129" s="3">
        <f t="shared" si="41"/>
        <v>13238.4</v>
      </c>
      <c r="I129" s="9">
        <v>0.4</v>
      </c>
      <c r="J129" s="3">
        <f t="shared" si="42"/>
        <v>7092</v>
      </c>
      <c r="K129" s="3">
        <f t="shared" si="43"/>
        <v>7943.04</v>
      </c>
      <c r="L129" s="9">
        <v>0.15</v>
      </c>
      <c r="M129" s="3">
        <f t="shared" si="44"/>
        <v>6028.2</v>
      </c>
      <c r="N129" s="5">
        <f t="shared" si="45"/>
        <v>6751.5839999999998</v>
      </c>
      <c r="O129" s="9"/>
    </row>
    <row r="130" spans="1:15" x14ac:dyDescent="0.3">
      <c r="A130" s="1">
        <v>129</v>
      </c>
      <c r="C130" s="2" t="s">
        <v>117</v>
      </c>
      <c r="D130" s="2" t="s">
        <v>134</v>
      </c>
      <c r="E130" s="1" t="s">
        <v>136</v>
      </c>
      <c r="F130" s="3">
        <v>14280</v>
      </c>
      <c r="G130" s="4">
        <v>0.12</v>
      </c>
      <c r="H130" s="3">
        <f t="shared" si="41"/>
        <v>15993.6</v>
      </c>
      <c r="I130" s="9">
        <v>0.4</v>
      </c>
      <c r="J130" s="3">
        <f t="shared" si="42"/>
        <v>8568</v>
      </c>
      <c r="K130" s="3">
        <f t="shared" si="43"/>
        <v>9596.16</v>
      </c>
      <c r="L130" s="9">
        <v>0.15</v>
      </c>
      <c r="M130" s="3">
        <f t="shared" si="44"/>
        <v>7282.8</v>
      </c>
      <c r="N130" s="5">
        <f t="shared" si="45"/>
        <v>8156.7359999999999</v>
      </c>
      <c r="O130" s="9"/>
    </row>
    <row r="131" spans="1:15" x14ac:dyDescent="0.3">
      <c r="A131" s="1">
        <v>130</v>
      </c>
      <c r="C131" s="2" t="s">
        <v>118</v>
      </c>
      <c r="D131" s="2" t="s">
        <v>134</v>
      </c>
      <c r="E131" s="1" t="s">
        <v>136</v>
      </c>
      <c r="F131" s="3">
        <v>17160</v>
      </c>
      <c r="G131" s="4">
        <v>0.12</v>
      </c>
      <c r="H131" s="3">
        <f t="shared" si="41"/>
        <v>19219.2</v>
      </c>
      <c r="I131" s="9">
        <v>0.4</v>
      </c>
      <c r="J131" s="3">
        <f t="shared" si="42"/>
        <v>10296</v>
      </c>
      <c r="K131" s="3">
        <f t="shared" si="43"/>
        <v>11531.52</v>
      </c>
      <c r="L131" s="9">
        <v>0.15</v>
      </c>
      <c r="M131" s="3">
        <f t="shared" si="44"/>
        <v>8751.6</v>
      </c>
      <c r="N131" s="5">
        <f t="shared" si="45"/>
        <v>9801.7920000000013</v>
      </c>
      <c r="O131" s="9"/>
    </row>
    <row r="132" spans="1:15" x14ac:dyDescent="0.3">
      <c r="A132" s="1">
        <v>131</v>
      </c>
      <c r="C132" s="2" t="s">
        <v>119</v>
      </c>
      <c r="D132" s="2" t="s">
        <v>134</v>
      </c>
      <c r="E132" s="1" t="s">
        <v>136</v>
      </c>
      <c r="F132" s="3">
        <v>8850</v>
      </c>
      <c r="G132" s="4">
        <v>0.12</v>
      </c>
      <c r="H132" s="3">
        <f t="shared" si="41"/>
        <v>9912</v>
      </c>
      <c r="I132" s="9">
        <v>0.4</v>
      </c>
      <c r="J132" s="3">
        <f t="shared" si="42"/>
        <v>5310</v>
      </c>
      <c r="K132" s="3">
        <f t="shared" si="43"/>
        <v>5947.2</v>
      </c>
      <c r="L132" s="9">
        <v>0.15</v>
      </c>
      <c r="M132" s="3">
        <f t="shared" si="44"/>
        <v>4513.5</v>
      </c>
      <c r="N132" s="5">
        <f t="shared" si="45"/>
        <v>5055.12</v>
      </c>
      <c r="O132" s="9"/>
    </row>
    <row r="133" spans="1:15" x14ac:dyDescent="0.3">
      <c r="A133" s="1">
        <v>132</v>
      </c>
      <c r="C133" s="2" t="s">
        <v>120</v>
      </c>
      <c r="D133" s="2" t="s">
        <v>134</v>
      </c>
      <c r="E133" s="1" t="s">
        <v>136</v>
      </c>
      <c r="F133" s="3">
        <v>10710</v>
      </c>
      <c r="G133" s="4">
        <v>0.12</v>
      </c>
      <c r="H133" s="3">
        <f t="shared" si="41"/>
        <v>11995.2</v>
      </c>
      <c r="I133" s="9">
        <v>0.4</v>
      </c>
      <c r="J133" s="3">
        <f t="shared" si="42"/>
        <v>6426</v>
      </c>
      <c r="K133" s="3">
        <f t="shared" si="43"/>
        <v>7197.12</v>
      </c>
      <c r="L133" s="9">
        <v>0.15</v>
      </c>
      <c r="M133" s="3">
        <f t="shared" si="44"/>
        <v>5462.1</v>
      </c>
      <c r="N133" s="5">
        <f t="shared" si="45"/>
        <v>6117.5520000000006</v>
      </c>
      <c r="O133" s="9"/>
    </row>
    <row r="134" spans="1:15" x14ac:dyDescent="0.3">
      <c r="A134" s="1">
        <v>133</v>
      </c>
      <c r="C134" s="2" t="s">
        <v>121</v>
      </c>
      <c r="D134" s="2" t="s">
        <v>134</v>
      </c>
      <c r="E134" s="1" t="s">
        <v>136</v>
      </c>
      <c r="F134" s="3">
        <v>12870</v>
      </c>
      <c r="G134" s="4">
        <v>0.12</v>
      </c>
      <c r="H134" s="3">
        <f t="shared" si="41"/>
        <v>14414.4</v>
      </c>
      <c r="I134" s="9">
        <v>0.4</v>
      </c>
      <c r="J134" s="3">
        <f t="shared" si="42"/>
        <v>7722</v>
      </c>
      <c r="K134" s="3">
        <f t="shared" si="43"/>
        <v>8648.64</v>
      </c>
      <c r="L134" s="9">
        <v>0.15</v>
      </c>
      <c r="M134" s="3">
        <f t="shared" si="44"/>
        <v>6563.7</v>
      </c>
      <c r="N134" s="5">
        <f t="shared" si="45"/>
        <v>7351.3440000000001</v>
      </c>
      <c r="O134" s="9"/>
    </row>
    <row r="135" spans="1:15" x14ac:dyDescent="0.3">
      <c r="A135" s="1">
        <v>134</v>
      </c>
      <c r="C135" s="2" t="s">
        <v>122</v>
      </c>
      <c r="D135" s="2" t="s">
        <v>134</v>
      </c>
      <c r="E135" s="1" t="s">
        <v>136</v>
      </c>
      <c r="F135" s="3">
        <v>10500</v>
      </c>
      <c r="G135" s="4">
        <v>0.12</v>
      </c>
      <c r="H135" s="3">
        <f t="shared" si="41"/>
        <v>11760</v>
      </c>
      <c r="I135" s="9">
        <v>0.35</v>
      </c>
      <c r="J135" s="3">
        <f t="shared" si="42"/>
        <v>6825</v>
      </c>
      <c r="K135" s="3">
        <f t="shared" si="43"/>
        <v>7644</v>
      </c>
      <c r="L135" s="9">
        <v>0.15</v>
      </c>
      <c r="M135" s="3">
        <f t="shared" si="44"/>
        <v>5801.25</v>
      </c>
      <c r="N135" s="5">
        <f t="shared" si="45"/>
        <v>6497.4</v>
      </c>
      <c r="O135" s="9"/>
    </row>
    <row r="136" spans="1:15" x14ac:dyDescent="0.3">
      <c r="A136" s="1">
        <v>135</v>
      </c>
      <c r="C136" s="2" t="s">
        <v>123</v>
      </c>
      <c r="D136" s="2" t="s">
        <v>134</v>
      </c>
      <c r="E136" s="1" t="s">
        <v>136</v>
      </c>
      <c r="G136" s="4">
        <v>0.12</v>
      </c>
      <c r="H136" s="3">
        <f t="shared" si="41"/>
        <v>0</v>
      </c>
      <c r="I136" s="9">
        <v>0.05</v>
      </c>
      <c r="J136" s="3">
        <f t="shared" si="42"/>
        <v>0</v>
      </c>
      <c r="K136" s="3">
        <f t="shared" si="43"/>
        <v>0</v>
      </c>
      <c r="L136" s="9">
        <v>0.05</v>
      </c>
      <c r="M136" s="3">
        <f t="shared" si="44"/>
        <v>0</v>
      </c>
      <c r="N136" s="5">
        <f t="shared" si="45"/>
        <v>0</v>
      </c>
      <c r="O136" s="9"/>
    </row>
    <row r="137" spans="1:15" x14ac:dyDescent="0.3">
      <c r="A137" s="1">
        <v>136</v>
      </c>
      <c r="C137" s="2" t="s">
        <v>124</v>
      </c>
      <c r="D137" s="2" t="s">
        <v>134</v>
      </c>
      <c r="E137" s="1" t="s">
        <v>136</v>
      </c>
      <c r="G137" s="4">
        <v>0.12</v>
      </c>
      <c r="H137" s="3">
        <f t="shared" si="41"/>
        <v>0</v>
      </c>
      <c r="I137" s="9">
        <v>0.05</v>
      </c>
      <c r="J137" s="3">
        <f t="shared" si="42"/>
        <v>0</v>
      </c>
      <c r="K137" s="3">
        <f t="shared" si="43"/>
        <v>0</v>
      </c>
      <c r="L137" s="9">
        <v>0.05</v>
      </c>
      <c r="M137" s="3">
        <f t="shared" si="44"/>
        <v>0</v>
      </c>
      <c r="N137" s="5">
        <f t="shared" si="45"/>
        <v>0</v>
      </c>
      <c r="O137" s="9"/>
    </row>
    <row r="138" spans="1:15" x14ac:dyDescent="0.3">
      <c r="A138" s="1">
        <v>137</v>
      </c>
      <c r="C138" s="2" t="s">
        <v>125</v>
      </c>
      <c r="D138" s="2" t="s">
        <v>134</v>
      </c>
      <c r="E138" s="1" t="s">
        <v>136</v>
      </c>
      <c r="G138" s="4">
        <v>0.12</v>
      </c>
      <c r="H138" s="3">
        <f t="shared" si="41"/>
        <v>0</v>
      </c>
      <c r="I138" s="9">
        <v>0.05</v>
      </c>
      <c r="J138" s="3">
        <f t="shared" si="42"/>
        <v>0</v>
      </c>
      <c r="K138" s="3">
        <f t="shared" si="43"/>
        <v>0</v>
      </c>
      <c r="L138" s="9">
        <v>0.05</v>
      </c>
      <c r="M138" s="3">
        <f t="shared" si="44"/>
        <v>0</v>
      </c>
      <c r="N138" s="5">
        <f t="shared" si="45"/>
        <v>0</v>
      </c>
      <c r="O138" s="9"/>
    </row>
    <row r="139" spans="1:15" x14ac:dyDescent="0.3">
      <c r="A139" s="1">
        <v>138</v>
      </c>
      <c r="C139" s="2" t="s">
        <v>126</v>
      </c>
      <c r="D139" s="2" t="s">
        <v>134</v>
      </c>
      <c r="E139" s="1" t="s">
        <v>136</v>
      </c>
      <c r="G139" s="4">
        <v>0.12</v>
      </c>
      <c r="H139" s="3">
        <f t="shared" si="41"/>
        <v>0</v>
      </c>
      <c r="I139" s="9">
        <v>0.05</v>
      </c>
      <c r="J139" s="3">
        <f t="shared" si="42"/>
        <v>0</v>
      </c>
      <c r="K139" s="3">
        <f t="shared" si="43"/>
        <v>0</v>
      </c>
      <c r="L139" s="9">
        <v>0.05</v>
      </c>
      <c r="M139" s="3">
        <f t="shared" si="44"/>
        <v>0</v>
      </c>
      <c r="N139" s="5">
        <f t="shared" si="45"/>
        <v>0</v>
      </c>
      <c r="O139" s="9"/>
    </row>
    <row r="140" spans="1:15" x14ac:dyDescent="0.3">
      <c r="A140" s="1">
        <v>139</v>
      </c>
      <c r="C140" s="2" t="s">
        <v>127</v>
      </c>
      <c r="D140" s="2" t="s">
        <v>134</v>
      </c>
      <c r="E140" s="1" t="s">
        <v>136</v>
      </c>
      <c r="G140" s="4">
        <v>0.12</v>
      </c>
      <c r="H140" s="3">
        <f t="shared" si="41"/>
        <v>0</v>
      </c>
      <c r="I140" s="9">
        <v>0.05</v>
      </c>
      <c r="J140" s="3">
        <f t="shared" si="42"/>
        <v>0</v>
      </c>
      <c r="K140" s="3">
        <f t="shared" si="43"/>
        <v>0</v>
      </c>
      <c r="L140" s="9">
        <v>0.05</v>
      </c>
      <c r="M140" s="3">
        <f t="shared" si="44"/>
        <v>0</v>
      </c>
      <c r="N140" s="5">
        <f t="shared" si="45"/>
        <v>0</v>
      </c>
      <c r="O140" s="9"/>
    </row>
    <row r="141" spans="1:15" x14ac:dyDescent="0.3">
      <c r="A141" s="1">
        <v>140</v>
      </c>
      <c r="C141" s="2" t="s">
        <v>128</v>
      </c>
      <c r="D141" s="2" t="s">
        <v>134</v>
      </c>
      <c r="E141" s="1" t="s">
        <v>136</v>
      </c>
      <c r="G141" s="4">
        <v>0.12</v>
      </c>
      <c r="H141" s="3">
        <f t="shared" si="41"/>
        <v>0</v>
      </c>
      <c r="I141" s="9">
        <v>0.05</v>
      </c>
      <c r="J141" s="3">
        <f t="shared" si="42"/>
        <v>0</v>
      </c>
      <c r="K141" s="3">
        <f t="shared" si="43"/>
        <v>0</v>
      </c>
      <c r="L141" s="9">
        <v>0.05</v>
      </c>
      <c r="M141" s="3">
        <f t="shared" si="44"/>
        <v>0</v>
      </c>
      <c r="N141" s="5">
        <f t="shared" si="45"/>
        <v>0</v>
      </c>
      <c r="O141" s="9"/>
    </row>
    <row r="142" spans="1:15" x14ac:dyDescent="0.3">
      <c r="A142" s="1">
        <v>141</v>
      </c>
      <c r="C142" s="2" t="s">
        <v>129</v>
      </c>
      <c r="D142" s="2" t="s">
        <v>134</v>
      </c>
      <c r="E142" s="1" t="s">
        <v>136</v>
      </c>
      <c r="G142" s="4">
        <v>0.12</v>
      </c>
      <c r="H142" s="3">
        <f t="shared" si="41"/>
        <v>0</v>
      </c>
      <c r="I142" s="9">
        <v>0.05</v>
      </c>
      <c r="J142" s="3">
        <f t="shared" si="42"/>
        <v>0</v>
      </c>
      <c r="K142" s="3">
        <f t="shared" si="43"/>
        <v>0</v>
      </c>
      <c r="L142" s="9">
        <v>0.05</v>
      </c>
      <c r="M142" s="3">
        <f t="shared" si="44"/>
        <v>0</v>
      </c>
      <c r="N142" s="5">
        <f t="shared" si="45"/>
        <v>0</v>
      </c>
      <c r="O142" s="9"/>
    </row>
    <row r="143" spans="1:15" x14ac:dyDescent="0.3">
      <c r="A143" s="1">
        <v>142</v>
      </c>
      <c r="C143" s="2" t="s">
        <v>130</v>
      </c>
      <c r="D143" s="2" t="s">
        <v>134</v>
      </c>
      <c r="E143" s="1" t="s">
        <v>136</v>
      </c>
      <c r="G143" s="4">
        <v>0.12</v>
      </c>
      <c r="H143" s="3">
        <f t="shared" si="41"/>
        <v>0</v>
      </c>
      <c r="I143" s="9">
        <v>0.05</v>
      </c>
      <c r="J143" s="3">
        <f t="shared" si="42"/>
        <v>0</v>
      </c>
      <c r="K143" s="3">
        <f t="shared" si="43"/>
        <v>0</v>
      </c>
      <c r="L143" s="9">
        <v>0.05</v>
      </c>
      <c r="M143" s="3">
        <f t="shared" si="44"/>
        <v>0</v>
      </c>
      <c r="N143" s="5">
        <f t="shared" si="45"/>
        <v>0</v>
      </c>
      <c r="O143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E306-15C8-4A55-9151-96CAE14B8271}">
  <dimension ref="A1:K256"/>
  <sheetViews>
    <sheetView workbookViewId="0">
      <selection activeCell="F1" sqref="F1:F1048576"/>
    </sheetView>
  </sheetViews>
  <sheetFormatPr defaultColWidth="8.88671875" defaultRowHeight="14.4" x14ac:dyDescent="0.3"/>
  <cols>
    <col min="1" max="1" width="6.88671875" style="23" bestFit="1" customWidth="1"/>
    <col min="2" max="2" width="13.5546875" style="22" bestFit="1" customWidth="1"/>
    <col min="3" max="3" width="63.5546875" style="22" customWidth="1"/>
    <col min="4" max="4" width="6.77734375" style="14" bestFit="1" customWidth="1"/>
    <col min="5" max="5" width="9.33203125" style="14" bestFit="1" customWidth="1"/>
    <col min="6" max="6" width="10.88671875" style="26" bestFit="1" customWidth="1"/>
    <col min="7" max="7" width="22.21875" style="21" customWidth="1"/>
    <col min="8" max="8" width="15.5546875" style="10" customWidth="1"/>
    <col min="9" max="16384" width="8.88671875" style="10"/>
  </cols>
  <sheetData>
    <row r="1" spans="1:7" s="18" customFormat="1" ht="43.2" x14ac:dyDescent="0.3">
      <c r="A1" s="16" t="s">
        <v>0</v>
      </c>
      <c r="B1" s="17" t="s">
        <v>195</v>
      </c>
      <c r="C1" s="17" t="s">
        <v>181</v>
      </c>
      <c r="D1" s="17" t="s">
        <v>182</v>
      </c>
      <c r="E1" s="17" t="s">
        <v>183</v>
      </c>
      <c r="F1" s="24" t="s">
        <v>184</v>
      </c>
      <c r="G1" s="19" t="s">
        <v>185</v>
      </c>
    </row>
    <row r="2" spans="1:7" x14ac:dyDescent="0.3">
      <c r="A2" s="27">
        <v>1</v>
      </c>
      <c r="B2" s="38"/>
      <c r="C2" s="38" t="s">
        <v>186</v>
      </c>
      <c r="D2" s="40" t="s">
        <v>187</v>
      </c>
      <c r="E2" s="11" t="s">
        <v>188</v>
      </c>
      <c r="F2" s="25">
        <v>330</v>
      </c>
      <c r="G2" s="39">
        <v>650</v>
      </c>
    </row>
    <row r="3" spans="1:7" x14ac:dyDescent="0.3">
      <c r="A3" s="37"/>
      <c r="B3" s="38"/>
      <c r="C3" s="38"/>
      <c r="D3" s="41"/>
      <c r="E3" s="11" t="s">
        <v>189</v>
      </c>
      <c r="F3" s="25">
        <v>325</v>
      </c>
      <c r="G3" s="42"/>
    </row>
    <row r="4" spans="1:7" x14ac:dyDescent="0.3">
      <c r="A4" s="27">
        <v>2</v>
      </c>
      <c r="B4" s="38"/>
      <c r="C4" s="38" t="s">
        <v>6</v>
      </c>
      <c r="D4" s="40" t="s">
        <v>187</v>
      </c>
      <c r="E4" s="11" t="s">
        <v>188</v>
      </c>
      <c r="F4" s="25">
        <v>650</v>
      </c>
      <c r="G4" s="39">
        <v>1400</v>
      </c>
    </row>
    <row r="5" spans="1:7" x14ac:dyDescent="0.3">
      <c r="A5" s="37"/>
      <c r="B5" s="38"/>
      <c r="C5" s="38"/>
      <c r="D5" s="41"/>
      <c r="E5" s="11" t="s">
        <v>189</v>
      </c>
      <c r="F5" s="25">
        <v>635</v>
      </c>
      <c r="G5" s="42"/>
    </row>
    <row r="6" spans="1:7" x14ac:dyDescent="0.3">
      <c r="A6" s="27">
        <v>3</v>
      </c>
      <c r="B6" s="38"/>
      <c r="C6" s="38" t="s">
        <v>7</v>
      </c>
      <c r="D6" s="40" t="s">
        <v>190</v>
      </c>
      <c r="E6" s="11" t="s">
        <v>191</v>
      </c>
      <c r="F6" s="25">
        <v>60</v>
      </c>
      <c r="G6" s="39">
        <v>200</v>
      </c>
    </row>
    <row r="7" spans="1:7" x14ac:dyDescent="0.3">
      <c r="A7" s="37"/>
      <c r="B7" s="38"/>
      <c r="C7" s="38"/>
      <c r="D7" s="41"/>
      <c r="E7" s="11" t="s">
        <v>188</v>
      </c>
      <c r="F7" s="25">
        <v>50</v>
      </c>
      <c r="G7" s="42"/>
    </row>
    <row r="8" spans="1:7" x14ac:dyDescent="0.3">
      <c r="A8" s="37"/>
      <c r="B8" s="38"/>
      <c r="C8" s="38"/>
      <c r="D8" s="41"/>
      <c r="E8" s="11" t="s">
        <v>192</v>
      </c>
      <c r="F8" s="25">
        <v>40</v>
      </c>
      <c r="G8" s="42"/>
    </row>
    <row r="9" spans="1:7" x14ac:dyDescent="0.3">
      <c r="A9" s="27">
        <v>4</v>
      </c>
      <c r="B9" s="43"/>
      <c r="C9" s="43" t="s">
        <v>8</v>
      </c>
      <c r="D9" s="40" t="s">
        <v>190</v>
      </c>
      <c r="E9" s="11" t="s">
        <v>191</v>
      </c>
      <c r="F9" s="25">
        <v>5</v>
      </c>
      <c r="G9" s="39">
        <v>10</v>
      </c>
    </row>
    <row r="10" spans="1:7" x14ac:dyDescent="0.3">
      <c r="A10" s="37"/>
      <c r="B10" s="43"/>
      <c r="C10" s="43"/>
      <c r="D10" s="41"/>
      <c r="E10" s="11" t="s">
        <v>188</v>
      </c>
      <c r="F10" s="25">
        <v>4.5</v>
      </c>
      <c r="G10" s="42"/>
    </row>
    <row r="11" spans="1:7" x14ac:dyDescent="0.3">
      <c r="A11" s="37"/>
      <c r="B11" s="43"/>
      <c r="C11" s="43"/>
      <c r="D11" s="41"/>
      <c r="E11" s="11" t="s">
        <v>192</v>
      </c>
      <c r="F11" s="25">
        <v>3.5</v>
      </c>
      <c r="G11" s="42"/>
    </row>
    <row r="12" spans="1:7" x14ac:dyDescent="0.3">
      <c r="A12" s="27">
        <v>5</v>
      </c>
      <c r="B12" s="38"/>
      <c r="C12" s="38" t="s">
        <v>9</v>
      </c>
      <c r="D12" s="40" t="s">
        <v>190</v>
      </c>
      <c r="E12" s="11" t="s">
        <v>191</v>
      </c>
      <c r="F12" s="25">
        <v>6</v>
      </c>
      <c r="G12" s="39">
        <v>10</v>
      </c>
    </row>
    <row r="13" spans="1:7" x14ac:dyDescent="0.3">
      <c r="A13" s="37"/>
      <c r="B13" s="38"/>
      <c r="C13" s="38"/>
      <c r="D13" s="41"/>
      <c r="E13" s="11" t="s">
        <v>188</v>
      </c>
      <c r="F13" s="25">
        <v>5.5</v>
      </c>
      <c r="G13" s="39"/>
    </row>
    <row r="14" spans="1:7" x14ac:dyDescent="0.3">
      <c r="A14" s="37"/>
      <c r="B14" s="38"/>
      <c r="C14" s="38"/>
      <c r="D14" s="41"/>
      <c r="E14" s="11" t="s">
        <v>192</v>
      </c>
      <c r="F14" s="25">
        <v>5</v>
      </c>
      <c r="G14" s="42"/>
    </row>
    <row r="15" spans="1:7" x14ac:dyDescent="0.3">
      <c r="A15" s="27">
        <v>6</v>
      </c>
      <c r="B15" s="38"/>
      <c r="C15" s="38" t="s">
        <v>10</v>
      </c>
      <c r="D15" s="31" t="s">
        <v>190</v>
      </c>
      <c r="E15" s="11" t="s">
        <v>193</v>
      </c>
      <c r="F15" s="25">
        <v>7500</v>
      </c>
      <c r="G15" s="39">
        <v>16890</v>
      </c>
    </row>
    <row r="16" spans="1:7" x14ac:dyDescent="0.3">
      <c r="A16" s="37"/>
      <c r="B16" s="38"/>
      <c r="C16" s="38"/>
      <c r="D16" s="32"/>
      <c r="E16" s="11" t="s">
        <v>194</v>
      </c>
      <c r="F16" s="25">
        <v>6350</v>
      </c>
      <c r="G16" s="39"/>
    </row>
    <row r="17" spans="1:8" x14ac:dyDescent="0.3">
      <c r="A17" s="27">
        <v>7</v>
      </c>
      <c r="B17" s="38"/>
      <c r="C17" s="38" t="s">
        <v>11</v>
      </c>
      <c r="D17" s="31" t="s">
        <v>190</v>
      </c>
      <c r="E17" s="11" t="s">
        <v>193</v>
      </c>
      <c r="F17" s="25">
        <v>8000</v>
      </c>
      <c r="G17" s="39">
        <v>17790</v>
      </c>
    </row>
    <row r="18" spans="1:8" x14ac:dyDescent="0.3">
      <c r="A18" s="37"/>
      <c r="B18" s="38"/>
      <c r="C18" s="38"/>
      <c r="D18" s="32"/>
      <c r="E18" s="11" t="s">
        <v>194</v>
      </c>
      <c r="F18" s="25">
        <v>6700</v>
      </c>
      <c r="G18" s="39"/>
    </row>
    <row r="19" spans="1:8" x14ac:dyDescent="0.3">
      <c r="A19" s="27">
        <v>8</v>
      </c>
      <c r="B19" s="38"/>
      <c r="C19" s="38" t="s">
        <v>12</v>
      </c>
      <c r="D19" s="31" t="s">
        <v>190</v>
      </c>
      <c r="E19" s="11" t="s">
        <v>193</v>
      </c>
      <c r="F19" s="25">
        <v>9000</v>
      </c>
      <c r="G19" s="39">
        <v>19200</v>
      </c>
    </row>
    <row r="20" spans="1:8" x14ac:dyDescent="0.3">
      <c r="A20" s="28"/>
      <c r="B20" s="38"/>
      <c r="C20" s="38"/>
      <c r="D20" s="32"/>
      <c r="E20" s="11" t="s">
        <v>194</v>
      </c>
      <c r="F20" s="25">
        <v>7185</v>
      </c>
      <c r="G20" s="39"/>
    </row>
    <row r="21" spans="1:8" x14ac:dyDescent="0.3">
      <c r="A21" s="27">
        <v>9</v>
      </c>
      <c r="B21" s="35"/>
      <c r="C21" s="35" t="s">
        <v>13</v>
      </c>
      <c r="D21" s="31" t="s">
        <v>190</v>
      </c>
      <c r="E21" s="11" t="s">
        <v>193</v>
      </c>
      <c r="F21" s="25">
        <v>10000</v>
      </c>
      <c r="G21" s="33">
        <v>22050</v>
      </c>
    </row>
    <row r="22" spans="1:8" x14ac:dyDescent="0.3">
      <c r="A22" s="28"/>
      <c r="B22" s="35"/>
      <c r="C22" s="35"/>
      <c r="D22" s="32"/>
      <c r="E22" s="11" t="s">
        <v>194</v>
      </c>
      <c r="F22" s="25">
        <v>8300</v>
      </c>
      <c r="G22" s="33"/>
    </row>
    <row r="23" spans="1:8" x14ac:dyDescent="0.3">
      <c r="A23" s="27">
        <v>10</v>
      </c>
      <c r="B23" s="35"/>
      <c r="C23" s="35" t="s">
        <v>14</v>
      </c>
      <c r="D23" s="31" t="s">
        <v>190</v>
      </c>
      <c r="E23" s="11" t="s">
        <v>193</v>
      </c>
      <c r="F23" s="25">
        <v>13400</v>
      </c>
      <c r="G23" s="33">
        <v>30450</v>
      </c>
    </row>
    <row r="24" spans="1:8" x14ac:dyDescent="0.3">
      <c r="A24" s="28"/>
      <c r="B24" s="35"/>
      <c r="C24" s="35"/>
      <c r="D24" s="32"/>
      <c r="E24" s="11" t="s">
        <v>194</v>
      </c>
      <c r="F24" s="25">
        <v>11500</v>
      </c>
      <c r="G24" s="33"/>
    </row>
    <row r="25" spans="1:8" x14ac:dyDescent="0.3">
      <c r="A25" s="27">
        <v>11</v>
      </c>
      <c r="B25" s="35"/>
      <c r="C25" s="35" t="s">
        <v>15</v>
      </c>
      <c r="D25" s="31" t="s">
        <v>190</v>
      </c>
      <c r="E25" s="11" t="s">
        <v>193</v>
      </c>
      <c r="F25" s="25">
        <v>14500</v>
      </c>
      <c r="G25" s="33">
        <v>32700</v>
      </c>
    </row>
    <row r="26" spans="1:8" x14ac:dyDescent="0.3">
      <c r="A26" s="28"/>
      <c r="B26" s="35"/>
      <c r="C26" s="35"/>
      <c r="D26" s="32"/>
      <c r="E26" s="11" t="s">
        <v>194</v>
      </c>
      <c r="F26" s="25">
        <v>12300</v>
      </c>
      <c r="G26" s="33"/>
    </row>
    <row r="27" spans="1:8" x14ac:dyDescent="0.3">
      <c r="A27" s="27">
        <v>12</v>
      </c>
      <c r="B27" s="34"/>
      <c r="C27" s="34" t="s">
        <v>16</v>
      </c>
      <c r="D27" s="31" t="s">
        <v>190</v>
      </c>
      <c r="E27" s="11" t="s">
        <v>193</v>
      </c>
      <c r="F27" s="25">
        <v>5400</v>
      </c>
      <c r="G27" s="33">
        <v>11820</v>
      </c>
    </row>
    <row r="28" spans="1:8" x14ac:dyDescent="0.3">
      <c r="A28" s="28"/>
      <c r="B28" s="34"/>
      <c r="C28" s="34"/>
      <c r="D28" s="32"/>
      <c r="E28" s="11" t="s">
        <v>194</v>
      </c>
      <c r="F28" s="25">
        <v>4500</v>
      </c>
      <c r="G28" s="33"/>
      <c r="H28" s="12"/>
    </row>
    <row r="29" spans="1:8" x14ac:dyDescent="0.3">
      <c r="A29" s="27">
        <v>13</v>
      </c>
      <c r="B29" s="34"/>
      <c r="C29" s="34" t="s">
        <v>17</v>
      </c>
      <c r="D29" s="31" t="s">
        <v>190</v>
      </c>
      <c r="E29" s="11" t="s">
        <v>193</v>
      </c>
      <c r="F29" s="25">
        <v>5640</v>
      </c>
      <c r="G29" s="33">
        <v>12450</v>
      </c>
      <c r="H29" s="12"/>
    </row>
    <row r="30" spans="1:8" x14ac:dyDescent="0.3">
      <c r="A30" s="28"/>
      <c r="B30" s="34"/>
      <c r="C30" s="34"/>
      <c r="D30" s="32"/>
      <c r="E30" s="11" t="s">
        <v>194</v>
      </c>
      <c r="F30" s="25">
        <v>4700</v>
      </c>
      <c r="G30" s="33"/>
    </row>
    <row r="31" spans="1:8" x14ac:dyDescent="0.3">
      <c r="A31" s="27">
        <v>14</v>
      </c>
      <c r="B31" s="35"/>
      <c r="C31" s="35" t="s">
        <v>18</v>
      </c>
      <c r="D31" s="31" t="s">
        <v>190</v>
      </c>
      <c r="E31" s="11" t="s">
        <v>193</v>
      </c>
      <c r="F31" s="25">
        <v>5865</v>
      </c>
      <c r="G31" s="33">
        <v>13440</v>
      </c>
      <c r="H31" s="13"/>
    </row>
    <row r="32" spans="1:8" x14ac:dyDescent="0.3">
      <c r="A32" s="28"/>
      <c r="B32" s="35"/>
      <c r="C32" s="35"/>
      <c r="D32" s="32"/>
      <c r="E32" s="11" t="s">
        <v>194</v>
      </c>
      <c r="F32" s="25">
        <v>5100</v>
      </c>
      <c r="G32" s="33"/>
    </row>
    <row r="33" spans="1:10" x14ac:dyDescent="0.3">
      <c r="A33" s="27">
        <v>15</v>
      </c>
      <c r="B33" s="35"/>
      <c r="C33" s="35" t="s">
        <v>19</v>
      </c>
      <c r="D33" s="31" t="s">
        <v>190</v>
      </c>
      <c r="E33" s="11" t="s">
        <v>193</v>
      </c>
      <c r="F33" s="25">
        <v>6900</v>
      </c>
      <c r="G33" s="33">
        <v>15240</v>
      </c>
    </row>
    <row r="34" spans="1:10" x14ac:dyDescent="0.3">
      <c r="A34" s="28"/>
      <c r="B34" s="35"/>
      <c r="C34" s="35"/>
      <c r="D34" s="32"/>
      <c r="E34" s="11" t="s">
        <v>194</v>
      </c>
      <c r="F34" s="25">
        <v>5750</v>
      </c>
      <c r="G34" s="33"/>
    </row>
    <row r="35" spans="1:10" x14ac:dyDescent="0.3">
      <c r="A35" s="27">
        <v>16</v>
      </c>
      <c r="B35" s="35"/>
      <c r="C35" s="35" t="s">
        <v>20</v>
      </c>
      <c r="D35" s="31" t="s">
        <v>190</v>
      </c>
      <c r="E35" s="11" t="s">
        <v>193</v>
      </c>
      <c r="F35" s="25">
        <v>9420</v>
      </c>
      <c r="G35" s="33">
        <v>20910</v>
      </c>
      <c r="J35" s="14"/>
    </row>
    <row r="36" spans="1:10" x14ac:dyDescent="0.3">
      <c r="A36" s="28"/>
      <c r="B36" s="35"/>
      <c r="C36" s="35"/>
      <c r="D36" s="32"/>
      <c r="E36" s="11" t="s">
        <v>194</v>
      </c>
      <c r="F36" s="25">
        <v>7850</v>
      </c>
      <c r="G36" s="33"/>
      <c r="J36" s="14"/>
    </row>
    <row r="37" spans="1:10" x14ac:dyDescent="0.3">
      <c r="A37" s="27">
        <v>17</v>
      </c>
      <c r="B37" s="35"/>
      <c r="C37" s="35" t="s">
        <v>21</v>
      </c>
      <c r="D37" s="31" t="s">
        <v>190</v>
      </c>
      <c r="E37" s="11" t="s">
        <v>193</v>
      </c>
      <c r="F37" s="25">
        <v>10150</v>
      </c>
      <c r="G37" s="36">
        <v>22500</v>
      </c>
      <c r="J37" s="14"/>
    </row>
    <row r="38" spans="1:10" x14ac:dyDescent="0.3">
      <c r="A38" s="28"/>
      <c r="B38" s="35"/>
      <c r="C38" s="35"/>
      <c r="D38" s="32"/>
      <c r="E38" s="11" t="s">
        <v>194</v>
      </c>
      <c r="F38" s="25">
        <v>8450</v>
      </c>
      <c r="G38" s="36"/>
      <c r="J38" s="14"/>
    </row>
    <row r="39" spans="1:10" x14ac:dyDescent="0.3">
      <c r="A39" s="27">
        <v>18</v>
      </c>
      <c r="B39" s="35"/>
      <c r="C39" s="35" t="s">
        <v>22</v>
      </c>
      <c r="D39" s="31" t="s">
        <v>190</v>
      </c>
      <c r="E39" s="11" t="s">
        <v>193</v>
      </c>
      <c r="F39" s="25">
        <v>7680</v>
      </c>
      <c r="G39" s="36">
        <v>16890</v>
      </c>
      <c r="J39" s="14"/>
    </row>
    <row r="40" spans="1:10" x14ac:dyDescent="0.3">
      <c r="A40" s="28"/>
      <c r="B40" s="35"/>
      <c r="C40" s="35"/>
      <c r="D40" s="32"/>
      <c r="E40" s="11" t="s">
        <v>194</v>
      </c>
      <c r="F40" s="25">
        <v>6400</v>
      </c>
      <c r="G40" s="36"/>
      <c r="J40" s="14"/>
    </row>
    <row r="41" spans="1:10" x14ac:dyDescent="0.3">
      <c r="A41" s="27">
        <v>19</v>
      </c>
      <c r="B41" s="35"/>
      <c r="C41" s="35" t="s">
        <v>23</v>
      </c>
      <c r="D41" s="31" t="s">
        <v>190</v>
      </c>
      <c r="E41" s="11" t="s">
        <v>193</v>
      </c>
      <c r="F41" s="25">
        <v>8100</v>
      </c>
      <c r="G41" s="36">
        <v>17790</v>
      </c>
    </row>
    <row r="42" spans="1:10" x14ac:dyDescent="0.3">
      <c r="A42" s="28"/>
      <c r="B42" s="35"/>
      <c r="C42" s="35"/>
      <c r="D42" s="32"/>
      <c r="E42" s="11" t="s">
        <v>194</v>
      </c>
      <c r="F42" s="25">
        <v>6700</v>
      </c>
      <c r="G42" s="36"/>
    </row>
    <row r="43" spans="1:10" x14ac:dyDescent="0.3">
      <c r="A43" s="27">
        <v>20</v>
      </c>
      <c r="B43" s="34"/>
      <c r="C43" s="34" t="s">
        <v>24</v>
      </c>
      <c r="D43" s="31" t="s">
        <v>190</v>
      </c>
      <c r="E43" s="11" t="s">
        <v>193</v>
      </c>
      <c r="F43" s="25">
        <v>8640</v>
      </c>
      <c r="G43" s="36">
        <v>19200</v>
      </c>
    </row>
    <row r="44" spans="1:10" x14ac:dyDescent="0.3">
      <c r="A44" s="28"/>
      <c r="B44" s="34"/>
      <c r="C44" s="34"/>
      <c r="D44" s="32"/>
      <c r="E44" s="11" t="s">
        <v>194</v>
      </c>
      <c r="F44" s="25">
        <v>7200</v>
      </c>
      <c r="G44" s="36"/>
    </row>
    <row r="45" spans="1:10" x14ac:dyDescent="0.3">
      <c r="A45" s="27">
        <v>21</v>
      </c>
      <c r="B45" s="34"/>
      <c r="C45" s="34" t="s">
        <v>25</v>
      </c>
      <c r="D45" s="31" t="s">
        <v>190</v>
      </c>
      <c r="E45" s="11" t="s">
        <v>193</v>
      </c>
      <c r="F45" s="25">
        <v>9960</v>
      </c>
      <c r="G45" s="36">
        <v>22050</v>
      </c>
    </row>
    <row r="46" spans="1:10" x14ac:dyDescent="0.3">
      <c r="A46" s="28"/>
      <c r="B46" s="34"/>
      <c r="C46" s="34"/>
      <c r="D46" s="32"/>
      <c r="E46" s="11" t="s">
        <v>194</v>
      </c>
      <c r="F46" s="25">
        <v>8300</v>
      </c>
      <c r="G46" s="36"/>
    </row>
    <row r="47" spans="1:10" x14ac:dyDescent="0.3">
      <c r="A47" s="27">
        <v>22</v>
      </c>
      <c r="B47" s="35"/>
      <c r="C47" s="35" t="s">
        <v>26</v>
      </c>
      <c r="D47" s="31" t="s">
        <v>190</v>
      </c>
      <c r="E47" s="11" t="s">
        <v>193</v>
      </c>
      <c r="F47" s="25">
        <v>13680</v>
      </c>
      <c r="G47" s="33">
        <v>30450</v>
      </c>
    </row>
    <row r="48" spans="1:10" x14ac:dyDescent="0.3">
      <c r="A48" s="28"/>
      <c r="B48" s="35"/>
      <c r="C48" s="35"/>
      <c r="D48" s="32"/>
      <c r="E48" s="11" t="s">
        <v>194</v>
      </c>
      <c r="F48" s="25">
        <v>11400</v>
      </c>
      <c r="G48" s="33"/>
    </row>
    <row r="49" spans="1:7" x14ac:dyDescent="0.3">
      <c r="A49" s="27">
        <v>23</v>
      </c>
      <c r="B49" s="35"/>
      <c r="C49" s="35" t="s">
        <v>27</v>
      </c>
      <c r="D49" s="31" t="s">
        <v>190</v>
      </c>
      <c r="E49" s="11" t="s">
        <v>193</v>
      </c>
      <c r="F49" s="25">
        <v>14760</v>
      </c>
      <c r="G49" s="33">
        <v>32700</v>
      </c>
    </row>
    <row r="50" spans="1:7" x14ac:dyDescent="0.3">
      <c r="A50" s="28"/>
      <c r="B50" s="35"/>
      <c r="C50" s="35"/>
      <c r="D50" s="32"/>
      <c r="E50" s="11" t="s">
        <v>194</v>
      </c>
      <c r="F50" s="25">
        <v>12300</v>
      </c>
      <c r="G50" s="33"/>
    </row>
    <row r="51" spans="1:7" x14ac:dyDescent="0.3">
      <c r="A51" s="27">
        <v>24</v>
      </c>
      <c r="B51" s="35"/>
      <c r="C51" s="35" t="s">
        <v>28</v>
      </c>
      <c r="D51" s="31" t="s">
        <v>190</v>
      </c>
      <c r="E51" s="11" t="s">
        <v>193</v>
      </c>
      <c r="F51" s="25">
        <v>5400</v>
      </c>
      <c r="G51" s="33">
        <v>11820</v>
      </c>
    </row>
    <row r="52" spans="1:7" x14ac:dyDescent="0.3">
      <c r="A52" s="28"/>
      <c r="B52" s="35"/>
      <c r="C52" s="35"/>
      <c r="D52" s="32"/>
      <c r="E52" s="11" t="s">
        <v>194</v>
      </c>
      <c r="F52" s="25">
        <v>4500</v>
      </c>
      <c r="G52" s="33"/>
    </row>
    <row r="53" spans="1:7" x14ac:dyDescent="0.3">
      <c r="A53" s="27">
        <v>25</v>
      </c>
      <c r="B53" s="34"/>
      <c r="C53" s="34" t="s">
        <v>29</v>
      </c>
      <c r="D53" s="31" t="s">
        <v>190</v>
      </c>
      <c r="E53" s="11" t="s">
        <v>193</v>
      </c>
      <c r="F53" s="25">
        <v>5640</v>
      </c>
      <c r="G53" s="33">
        <v>12450</v>
      </c>
    </row>
    <row r="54" spans="1:7" x14ac:dyDescent="0.3">
      <c r="A54" s="28"/>
      <c r="B54" s="34"/>
      <c r="C54" s="34"/>
      <c r="D54" s="32"/>
      <c r="E54" s="11" t="s">
        <v>194</v>
      </c>
      <c r="F54" s="25">
        <v>4700</v>
      </c>
      <c r="G54" s="33"/>
    </row>
    <row r="55" spans="1:7" x14ac:dyDescent="0.3">
      <c r="A55" s="27">
        <v>26</v>
      </c>
      <c r="B55" s="34"/>
      <c r="C55" s="34" t="s">
        <v>30</v>
      </c>
      <c r="D55" s="31" t="s">
        <v>190</v>
      </c>
      <c r="E55" s="11" t="s">
        <v>193</v>
      </c>
      <c r="F55" s="25">
        <v>6120</v>
      </c>
      <c r="G55" s="33">
        <v>13440</v>
      </c>
    </row>
    <row r="56" spans="1:7" x14ac:dyDescent="0.3">
      <c r="A56" s="28"/>
      <c r="B56" s="34"/>
      <c r="C56" s="34"/>
      <c r="D56" s="32"/>
      <c r="E56" s="11" t="s">
        <v>194</v>
      </c>
      <c r="F56" s="25">
        <v>5100</v>
      </c>
      <c r="G56" s="33"/>
    </row>
    <row r="57" spans="1:7" x14ac:dyDescent="0.3">
      <c r="A57" s="27">
        <v>27</v>
      </c>
      <c r="B57" s="34"/>
      <c r="C57" s="34" t="s">
        <v>31</v>
      </c>
      <c r="D57" s="31" t="s">
        <v>190</v>
      </c>
      <c r="E57" s="11" t="s">
        <v>193</v>
      </c>
      <c r="F57" s="25">
        <v>6960</v>
      </c>
      <c r="G57" s="33">
        <v>15240</v>
      </c>
    </row>
    <row r="58" spans="1:7" x14ac:dyDescent="0.3">
      <c r="A58" s="28"/>
      <c r="B58" s="34"/>
      <c r="C58" s="34"/>
      <c r="D58" s="32"/>
      <c r="E58" s="11" t="s">
        <v>194</v>
      </c>
      <c r="F58" s="25">
        <v>5800</v>
      </c>
      <c r="G58" s="33"/>
    </row>
    <row r="59" spans="1:7" x14ac:dyDescent="0.3">
      <c r="A59" s="27">
        <v>28</v>
      </c>
      <c r="B59" s="34"/>
      <c r="C59" s="34" t="s">
        <v>32</v>
      </c>
      <c r="D59" s="31" t="s">
        <v>190</v>
      </c>
      <c r="E59" s="11" t="s">
        <v>193</v>
      </c>
      <c r="F59" s="25">
        <v>9480</v>
      </c>
      <c r="G59" s="33">
        <v>20910</v>
      </c>
    </row>
    <row r="60" spans="1:7" x14ac:dyDescent="0.3">
      <c r="A60" s="28"/>
      <c r="B60" s="34"/>
      <c r="C60" s="34"/>
      <c r="D60" s="32"/>
      <c r="E60" s="11" t="s">
        <v>194</v>
      </c>
      <c r="F60" s="25">
        <v>7900</v>
      </c>
      <c r="G60" s="33"/>
    </row>
    <row r="61" spans="1:7" x14ac:dyDescent="0.3">
      <c r="A61" s="27">
        <v>29</v>
      </c>
      <c r="B61" s="34"/>
      <c r="C61" s="34" t="s">
        <v>33</v>
      </c>
      <c r="D61" s="31" t="s">
        <v>190</v>
      </c>
      <c r="E61" s="11" t="s">
        <v>193</v>
      </c>
      <c r="F61" s="25">
        <v>10200</v>
      </c>
      <c r="G61" s="33">
        <v>22500</v>
      </c>
    </row>
    <row r="62" spans="1:7" x14ac:dyDescent="0.3">
      <c r="A62" s="28"/>
      <c r="B62" s="34"/>
      <c r="C62" s="34"/>
      <c r="D62" s="32"/>
      <c r="E62" s="11" t="s">
        <v>194</v>
      </c>
      <c r="F62" s="25">
        <v>8500</v>
      </c>
      <c r="G62" s="33"/>
    </row>
    <row r="63" spans="1:7" x14ac:dyDescent="0.3">
      <c r="A63" s="27">
        <v>30</v>
      </c>
      <c r="B63" s="34"/>
      <c r="C63" s="34" t="s">
        <v>34</v>
      </c>
      <c r="D63" s="31" t="s">
        <v>190</v>
      </c>
      <c r="E63" s="11" t="s">
        <v>193</v>
      </c>
      <c r="F63" s="25">
        <v>8760</v>
      </c>
      <c r="G63" s="33">
        <v>19410</v>
      </c>
    </row>
    <row r="64" spans="1:7" x14ac:dyDescent="0.3">
      <c r="A64" s="28"/>
      <c r="B64" s="34"/>
      <c r="C64" s="34"/>
      <c r="D64" s="32"/>
      <c r="E64" s="11" t="s">
        <v>194</v>
      </c>
      <c r="F64" s="25">
        <v>7300</v>
      </c>
      <c r="G64" s="33"/>
    </row>
    <row r="65" spans="1:7" x14ac:dyDescent="0.3">
      <c r="A65" s="27">
        <v>31</v>
      </c>
      <c r="B65" s="29"/>
      <c r="C65" s="29" t="s">
        <v>35</v>
      </c>
      <c r="D65" s="31" t="s">
        <v>190</v>
      </c>
      <c r="E65" s="11" t="s">
        <v>193</v>
      </c>
      <c r="F65" s="25">
        <v>9240</v>
      </c>
      <c r="G65" s="33">
        <v>20460</v>
      </c>
    </row>
    <row r="66" spans="1:7" x14ac:dyDescent="0.3">
      <c r="A66" s="28"/>
      <c r="B66" s="30"/>
      <c r="C66" s="30"/>
      <c r="D66" s="32"/>
      <c r="E66" s="11" t="s">
        <v>194</v>
      </c>
      <c r="F66" s="25">
        <v>7700</v>
      </c>
      <c r="G66" s="33"/>
    </row>
    <row r="67" spans="1:7" x14ac:dyDescent="0.3">
      <c r="A67" s="27">
        <v>32</v>
      </c>
      <c r="B67" s="29"/>
      <c r="C67" s="29" t="s">
        <v>36</v>
      </c>
      <c r="D67" s="31" t="s">
        <v>190</v>
      </c>
      <c r="E67" s="11" t="s">
        <v>193</v>
      </c>
      <c r="F67" s="25">
        <v>9960</v>
      </c>
      <c r="G67" s="33">
        <v>22080</v>
      </c>
    </row>
    <row r="68" spans="1:7" x14ac:dyDescent="0.3">
      <c r="A68" s="28"/>
      <c r="B68" s="30"/>
      <c r="C68" s="30"/>
      <c r="D68" s="32"/>
      <c r="E68" s="11" t="s">
        <v>194</v>
      </c>
      <c r="F68" s="25">
        <v>8300</v>
      </c>
      <c r="G68" s="33"/>
    </row>
    <row r="69" spans="1:7" x14ac:dyDescent="0.3">
      <c r="A69" s="27">
        <v>33</v>
      </c>
      <c r="B69" s="29"/>
      <c r="C69" s="29" t="s">
        <v>37</v>
      </c>
      <c r="D69" s="31" t="s">
        <v>190</v>
      </c>
      <c r="E69" s="11" t="s">
        <v>193</v>
      </c>
      <c r="F69" s="25">
        <v>11400</v>
      </c>
      <c r="G69" s="33">
        <v>25350</v>
      </c>
    </row>
    <row r="70" spans="1:7" x14ac:dyDescent="0.3">
      <c r="A70" s="28"/>
      <c r="B70" s="30"/>
      <c r="C70" s="30"/>
      <c r="D70" s="32"/>
      <c r="E70" s="11" t="s">
        <v>194</v>
      </c>
      <c r="F70" s="25">
        <v>9500</v>
      </c>
      <c r="G70" s="33"/>
    </row>
    <row r="71" spans="1:7" x14ac:dyDescent="0.3">
      <c r="A71" s="27">
        <v>34</v>
      </c>
      <c r="B71" s="29"/>
      <c r="C71" s="29" t="s">
        <v>38</v>
      </c>
      <c r="D71" s="31" t="s">
        <v>190</v>
      </c>
      <c r="E71" s="11" t="s">
        <v>193</v>
      </c>
      <c r="F71" s="25">
        <v>15720</v>
      </c>
      <c r="G71" s="33">
        <v>35010</v>
      </c>
    </row>
    <row r="72" spans="1:7" x14ac:dyDescent="0.3">
      <c r="A72" s="28"/>
      <c r="B72" s="30"/>
      <c r="C72" s="30"/>
      <c r="D72" s="32"/>
      <c r="E72" s="11" t="s">
        <v>194</v>
      </c>
      <c r="F72" s="25">
        <v>13100</v>
      </c>
      <c r="G72" s="33"/>
    </row>
    <row r="73" spans="1:7" x14ac:dyDescent="0.3">
      <c r="A73" s="27">
        <v>35</v>
      </c>
      <c r="B73" s="29"/>
      <c r="C73" s="29" t="s">
        <v>39</v>
      </c>
      <c r="D73" s="31" t="s">
        <v>190</v>
      </c>
      <c r="E73" s="11" t="s">
        <v>193</v>
      </c>
      <c r="F73" s="25">
        <v>16920</v>
      </c>
      <c r="G73" s="33">
        <v>37620</v>
      </c>
    </row>
    <row r="74" spans="1:7" x14ac:dyDescent="0.3">
      <c r="A74" s="28"/>
      <c r="B74" s="30"/>
      <c r="C74" s="30"/>
      <c r="D74" s="32"/>
      <c r="E74" s="11" t="s">
        <v>194</v>
      </c>
      <c r="F74" s="25">
        <v>14100</v>
      </c>
      <c r="G74" s="33"/>
    </row>
    <row r="75" spans="1:7" x14ac:dyDescent="0.3">
      <c r="A75" s="27">
        <v>36</v>
      </c>
      <c r="B75" s="29"/>
      <c r="C75" s="29" t="s">
        <v>40</v>
      </c>
      <c r="D75" s="31" t="s">
        <v>190</v>
      </c>
      <c r="E75" s="11" t="s">
        <v>193</v>
      </c>
      <c r="F75" s="25">
        <v>6120</v>
      </c>
      <c r="G75" s="33">
        <v>13590</v>
      </c>
    </row>
    <row r="76" spans="1:7" x14ac:dyDescent="0.3">
      <c r="A76" s="28"/>
      <c r="B76" s="30"/>
      <c r="C76" s="30"/>
      <c r="D76" s="32"/>
      <c r="E76" s="11" t="s">
        <v>194</v>
      </c>
      <c r="F76" s="25">
        <v>5100</v>
      </c>
      <c r="G76" s="33"/>
    </row>
    <row r="77" spans="1:7" x14ac:dyDescent="0.3">
      <c r="A77" s="27">
        <v>37</v>
      </c>
      <c r="B77" s="29"/>
      <c r="C77" s="29" t="s">
        <v>41</v>
      </c>
      <c r="D77" s="31" t="s">
        <v>190</v>
      </c>
      <c r="E77" s="11" t="s">
        <v>193</v>
      </c>
      <c r="F77" s="25">
        <v>6480</v>
      </c>
      <c r="G77" s="33">
        <v>14310</v>
      </c>
    </row>
    <row r="78" spans="1:7" x14ac:dyDescent="0.3">
      <c r="A78" s="28"/>
      <c r="B78" s="30"/>
      <c r="C78" s="30"/>
      <c r="D78" s="32"/>
      <c r="E78" s="11" t="s">
        <v>194</v>
      </c>
      <c r="F78" s="25">
        <v>5400</v>
      </c>
      <c r="G78" s="33"/>
    </row>
    <row r="79" spans="1:7" x14ac:dyDescent="0.3">
      <c r="A79" s="27">
        <v>38</v>
      </c>
      <c r="B79" s="29"/>
      <c r="C79" s="29" t="s">
        <v>42</v>
      </c>
      <c r="D79" s="31" t="s">
        <v>190</v>
      </c>
      <c r="E79" s="11" t="s">
        <v>193</v>
      </c>
      <c r="F79" s="25">
        <v>6960</v>
      </c>
      <c r="G79" s="33">
        <v>15450</v>
      </c>
    </row>
    <row r="80" spans="1:7" x14ac:dyDescent="0.3">
      <c r="A80" s="28"/>
      <c r="B80" s="30"/>
      <c r="C80" s="30"/>
      <c r="D80" s="32"/>
      <c r="E80" s="11" t="s">
        <v>194</v>
      </c>
      <c r="F80" s="25">
        <v>5800</v>
      </c>
      <c r="G80" s="33"/>
    </row>
    <row r="81" spans="1:7" x14ac:dyDescent="0.3">
      <c r="A81" s="27">
        <v>39</v>
      </c>
      <c r="B81" s="29"/>
      <c r="C81" s="29" t="s">
        <v>43</v>
      </c>
      <c r="D81" s="31" t="s">
        <v>190</v>
      </c>
      <c r="E81" s="11" t="s">
        <v>193</v>
      </c>
      <c r="F81" s="25">
        <v>7920</v>
      </c>
      <c r="G81" s="33">
        <v>17520</v>
      </c>
    </row>
    <row r="82" spans="1:7" x14ac:dyDescent="0.3">
      <c r="A82" s="28"/>
      <c r="B82" s="30"/>
      <c r="C82" s="30"/>
      <c r="D82" s="32"/>
      <c r="E82" s="11" t="s">
        <v>194</v>
      </c>
      <c r="F82" s="25">
        <v>6600</v>
      </c>
      <c r="G82" s="33"/>
    </row>
    <row r="83" spans="1:7" x14ac:dyDescent="0.3">
      <c r="A83" s="27">
        <v>40</v>
      </c>
      <c r="B83" s="29"/>
      <c r="C83" s="29" t="s">
        <v>44</v>
      </c>
      <c r="D83" s="31" t="s">
        <v>190</v>
      </c>
      <c r="E83" s="11" t="s">
        <v>193</v>
      </c>
      <c r="F83" s="25">
        <v>10920</v>
      </c>
      <c r="G83" s="33">
        <v>24060</v>
      </c>
    </row>
    <row r="84" spans="1:7" x14ac:dyDescent="0.3">
      <c r="A84" s="28"/>
      <c r="B84" s="30"/>
      <c r="C84" s="30"/>
      <c r="D84" s="32"/>
      <c r="E84" s="11" t="s">
        <v>194</v>
      </c>
      <c r="F84" s="25">
        <v>9100</v>
      </c>
      <c r="G84" s="33"/>
    </row>
    <row r="85" spans="1:7" x14ac:dyDescent="0.3">
      <c r="A85" s="27">
        <v>41</v>
      </c>
      <c r="B85" s="29"/>
      <c r="C85" s="29" t="s">
        <v>45</v>
      </c>
      <c r="D85" s="31" t="s">
        <v>190</v>
      </c>
      <c r="E85" s="11" t="s">
        <v>193</v>
      </c>
      <c r="F85" s="25">
        <v>11640</v>
      </c>
      <c r="G85" s="33">
        <v>25890</v>
      </c>
    </row>
    <row r="86" spans="1:7" x14ac:dyDescent="0.3">
      <c r="A86" s="28"/>
      <c r="B86" s="30"/>
      <c r="C86" s="30"/>
      <c r="D86" s="32"/>
      <c r="E86" s="11" t="s">
        <v>194</v>
      </c>
      <c r="F86" s="25">
        <v>9700</v>
      </c>
      <c r="G86" s="33"/>
    </row>
    <row r="87" spans="1:7" x14ac:dyDescent="0.3">
      <c r="A87" s="27">
        <v>42</v>
      </c>
      <c r="B87" s="29"/>
      <c r="C87" s="29" t="s">
        <v>46</v>
      </c>
      <c r="D87" s="31" t="s">
        <v>190</v>
      </c>
      <c r="E87" s="11" t="s">
        <v>193</v>
      </c>
      <c r="F87" s="25">
        <v>8400</v>
      </c>
      <c r="G87" s="33">
        <v>17460</v>
      </c>
    </row>
    <row r="88" spans="1:7" x14ac:dyDescent="0.3">
      <c r="A88" s="28"/>
      <c r="B88" s="30"/>
      <c r="C88" s="30"/>
      <c r="D88" s="32"/>
      <c r="E88" s="11" t="s">
        <v>194</v>
      </c>
      <c r="F88" s="25">
        <v>7000</v>
      </c>
      <c r="G88" s="33"/>
    </row>
    <row r="89" spans="1:7" x14ac:dyDescent="0.3">
      <c r="A89" s="27">
        <v>43</v>
      </c>
      <c r="B89" s="29"/>
      <c r="C89" s="29" t="s">
        <v>47</v>
      </c>
      <c r="D89" s="31" t="s">
        <v>190</v>
      </c>
      <c r="E89" s="11" t="s">
        <v>193</v>
      </c>
      <c r="F89" s="25">
        <v>9240</v>
      </c>
      <c r="G89" s="33">
        <v>19200</v>
      </c>
    </row>
    <row r="90" spans="1:7" x14ac:dyDescent="0.3">
      <c r="A90" s="28"/>
      <c r="B90" s="30"/>
      <c r="C90" s="30"/>
      <c r="D90" s="32"/>
      <c r="E90" s="11" t="s">
        <v>194</v>
      </c>
      <c r="F90" s="25">
        <v>7700</v>
      </c>
      <c r="G90" s="33"/>
    </row>
    <row r="91" spans="1:7" x14ac:dyDescent="0.3">
      <c r="A91" s="27">
        <v>44</v>
      </c>
      <c r="B91" s="29"/>
      <c r="C91" s="29" t="s">
        <v>48</v>
      </c>
      <c r="D91" s="31" t="s">
        <v>190</v>
      </c>
      <c r="E91" s="11" t="s">
        <v>193</v>
      </c>
      <c r="F91" s="25">
        <v>10080</v>
      </c>
      <c r="G91" s="33">
        <v>20970</v>
      </c>
    </row>
    <row r="92" spans="1:7" x14ac:dyDescent="0.3">
      <c r="A92" s="28"/>
      <c r="B92" s="30"/>
      <c r="C92" s="30"/>
      <c r="D92" s="32"/>
      <c r="E92" s="11" t="s">
        <v>194</v>
      </c>
      <c r="F92" s="25">
        <v>8400</v>
      </c>
      <c r="G92" s="33"/>
    </row>
    <row r="93" spans="1:7" x14ac:dyDescent="0.3">
      <c r="A93" s="27">
        <v>45</v>
      </c>
      <c r="B93" s="29"/>
      <c r="C93" s="29" t="s">
        <v>49</v>
      </c>
      <c r="D93" s="31" t="s">
        <v>190</v>
      </c>
      <c r="E93" s="11" t="s">
        <v>193</v>
      </c>
      <c r="F93" s="25">
        <v>11160</v>
      </c>
      <c r="G93" s="33">
        <v>23310</v>
      </c>
    </row>
    <row r="94" spans="1:7" x14ac:dyDescent="0.3">
      <c r="A94" s="28"/>
      <c r="B94" s="30"/>
      <c r="C94" s="30"/>
      <c r="D94" s="32"/>
      <c r="E94" s="11" t="s">
        <v>194</v>
      </c>
      <c r="F94" s="25">
        <v>9300</v>
      </c>
      <c r="G94" s="33"/>
    </row>
    <row r="95" spans="1:7" x14ac:dyDescent="0.3">
      <c r="A95" s="27">
        <v>46</v>
      </c>
      <c r="B95" s="29"/>
      <c r="C95" s="29" t="s">
        <v>50</v>
      </c>
      <c r="D95" s="31" t="s">
        <v>190</v>
      </c>
      <c r="E95" s="11" t="s">
        <v>193</v>
      </c>
      <c r="F95" s="25">
        <v>12480</v>
      </c>
      <c r="G95" s="33">
        <v>26100</v>
      </c>
    </row>
    <row r="96" spans="1:7" x14ac:dyDescent="0.3">
      <c r="A96" s="28"/>
      <c r="B96" s="30"/>
      <c r="C96" s="30"/>
      <c r="D96" s="32"/>
      <c r="E96" s="11" t="s">
        <v>194</v>
      </c>
      <c r="F96" s="25">
        <v>10400</v>
      </c>
      <c r="G96" s="33"/>
    </row>
    <row r="97" spans="1:7" x14ac:dyDescent="0.3">
      <c r="A97" s="27">
        <v>47</v>
      </c>
      <c r="B97" s="29"/>
      <c r="C97" s="29" t="s">
        <v>51</v>
      </c>
      <c r="D97" s="31" t="s">
        <v>190</v>
      </c>
      <c r="E97" s="11" t="s">
        <v>193</v>
      </c>
      <c r="F97" s="25">
        <v>6240</v>
      </c>
      <c r="G97" s="33">
        <v>13020</v>
      </c>
    </row>
    <row r="98" spans="1:7" x14ac:dyDescent="0.3">
      <c r="A98" s="28"/>
      <c r="B98" s="30"/>
      <c r="C98" s="30"/>
      <c r="D98" s="32"/>
      <c r="E98" s="11" t="s">
        <v>194</v>
      </c>
      <c r="F98" s="25">
        <v>5200</v>
      </c>
      <c r="G98" s="33"/>
    </row>
    <row r="99" spans="1:7" x14ac:dyDescent="0.3">
      <c r="A99" s="27">
        <v>48</v>
      </c>
      <c r="B99" s="29"/>
      <c r="C99" s="29" t="s">
        <v>52</v>
      </c>
      <c r="D99" s="31" t="s">
        <v>190</v>
      </c>
      <c r="E99" s="11" t="s">
        <v>193</v>
      </c>
      <c r="F99" s="25">
        <v>7320</v>
      </c>
      <c r="G99" s="33">
        <v>15240</v>
      </c>
    </row>
    <row r="100" spans="1:7" x14ac:dyDescent="0.3">
      <c r="A100" s="28"/>
      <c r="B100" s="30"/>
      <c r="C100" s="30"/>
      <c r="D100" s="32"/>
      <c r="E100" s="11" t="s">
        <v>194</v>
      </c>
      <c r="F100" s="25">
        <v>6100</v>
      </c>
      <c r="G100" s="33"/>
    </row>
    <row r="101" spans="1:7" x14ac:dyDescent="0.3">
      <c r="A101" s="27">
        <v>49</v>
      </c>
      <c r="B101" s="29"/>
      <c r="C101" s="29" t="s">
        <v>53</v>
      </c>
      <c r="D101" s="31" t="s">
        <v>190</v>
      </c>
      <c r="E101" s="11" t="s">
        <v>193</v>
      </c>
      <c r="F101" s="25">
        <v>7800</v>
      </c>
      <c r="G101" s="33">
        <v>16290</v>
      </c>
    </row>
    <row r="102" spans="1:7" x14ac:dyDescent="0.3">
      <c r="A102" s="28"/>
      <c r="B102" s="30"/>
      <c r="C102" s="30"/>
      <c r="D102" s="32"/>
      <c r="E102" s="11" t="s">
        <v>194</v>
      </c>
      <c r="F102" s="25">
        <v>6500</v>
      </c>
      <c r="G102" s="33"/>
    </row>
    <row r="103" spans="1:7" x14ac:dyDescent="0.3">
      <c r="A103" s="27">
        <v>50</v>
      </c>
      <c r="B103" s="29"/>
      <c r="C103" s="29" t="s">
        <v>54</v>
      </c>
      <c r="D103" s="31" t="s">
        <v>190</v>
      </c>
      <c r="E103" s="11" t="s">
        <v>193</v>
      </c>
      <c r="F103" s="25">
        <v>8640</v>
      </c>
      <c r="G103" s="33">
        <v>17940</v>
      </c>
    </row>
    <row r="104" spans="1:7" x14ac:dyDescent="0.3">
      <c r="A104" s="28"/>
      <c r="B104" s="30"/>
      <c r="C104" s="30"/>
      <c r="D104" s="32"/>
      <c r="E104" s="11" t="s">
        <v>194</v>
      </c>
      <c r="F104" s="25">
        <v>7200</v>
      </c>
      <c r="G104" s="33"/>
    </row>
    <row r="105" spans="1:7" x14ac:dyDescent="0.3">
      <c r="A105" s="27">
        <v>51</v>
      </c>
      <c r="B105" s="29"/>
      <c r="C105" s="29" t="s">
        <v>55</v>
      </c>
      <c r="D105" s="31" t="s">
        <v>190</v>
      </c>
      <c r="E105" s="11" t="s">
        <v>193</v>
      </c>
      <c r="F105" s="25">
        <v>9840</v>
      </c>
      <c r="G105" s="33">
        <v>20610</v>
      </c>
    </row>
    <row r="106" spans="1:7" x14ac:dyDescent="0.3">
      <c r="A106" s="28"/>
      <c r="B106" s="30"/>
      <c r="C106" s="30"/>
      <c r="D106" s="32"/>
      <c r="E106" s="11" t="s">
        <v>194</v>
      </c>
      <c r="F106" s="25">
        <v>8200</v>
      </c>
      <c r="G106" s="33"/>
    </row>
    <row r="107" spans="1:7" x14ac:dyDescent="0.3">
      <c r="A107" s="27">
        <v>52</v>
      </c>
      <c r="B107" s="29"/>
      <c r="C107" s="29" t="s">
        <v>56</v>
      </c>
      <c r="D107" s="31" t="s">
        <v>190</v>
      </c>
      <c r="E107" s="11" t="s">
        <v>193</v>
      </c>
      <c r="F107" s="25">
        <v>12120</v>
      </c>
      <c r="G107" s="33">
        <v>25260</v>
      </c>
    </row>
    <row r="108" spans="1:7" x14ac:dyDescent="0.3">
      <c r="A108" s="28"/>
      <c r="B108" s="30"/>
      <c r="C108" s="30"/>
      <c r="D108" s="32"/>
      <c r="E108" s="11" t="s">
        <v>194</v>
      </c>
      <c r="F108" s="25">
        <v>10100</v>
      </c>
      <c r="G108" s="33"/>
    </row>
    <row r="109" spans="1:7" x14ac:dyDescent="0.3">
      <c r="A109" s="27">
        <v>53</v>
      </c>
      <c r="B109" s="29"/>
      <c r="C109" s="29" t="s">
        <v>57</v>
      </c>
      <c r="D109" s="31" t="s">
        <v>190</v>
      </c>
      <c r="E109" s="11" t="s">
        <v>193</v>
      </c>
      <c r="F109" s="25">
        <v>14880</v>
      </c>
      <c r="G109" s="33">
        <v>31290</v>
      </c>
    </row>
    <row r="110" spans="1:7" x14ac:dyDescent="0.3">
      <c r="A110" s="28"/>
      <c r="B110" s="30"/>
      <c r="C110" s="30"/>
      <c r="D110" s="32"/>
      <c r="E110" s="11" t="s">
        <v>194</v>
      </c>
      <c r="F110" s="25">
        <v>12400</v>
      </c>
      <c r="G110" s="33"/>
    </row>
    <row r="111" spans="1:7" x14ac:dyDescent="0.3">
      <c r="A111" s="27">
        <v>54</v>
      </c>
      <c r="B111" s="29"/>
      <c r="C111" s="29" t="s">
        <v>58</v>
      </c>
      <c r="D111" s="31" t="s">
        <v>190</v>
      </c>
      <c r="E111" s="11" t="s">
        <v>193</v>
      </c>
      <c r="F111" s="25">
        <v>15840</v>
      </c>
      <c r="G111" s="33">
        <v>33180</v>
      </c>
    </row>
    <row r="112" spans="1:7" x14ac:dyDescent="0.3">
      <c r="A112" s="28"/>
      <c r="B112" s="30"/>
      <c r="C112" s="30"/>
      <c r="D112" s="32"/>
      <c r="E112" s="11" t="s">
        <v>194</v>
      </c>
      <c r="F112" s="25">
        <v>13200</v>
      </c>
      <c r="G112" s="33"/>
    </row>
    <row r="113" spans="1:7" x14ac:dyDescent="0.3">
      <c r="A113" s="27">
        <v>55</v>
      </c>
      <c r="B113" s="29"/>
      <c r="C113" s="29" t="s">
        <v>59</v>
      </c>
      <c r="D113" s="31" t="s">
        <v>190</v>
      </c>
      <c r="E113" s="11" t="s">
        <v>193</v>
      </c>
      <c r="F113" s="25">
        <v>17400</v>
      </c>
      <c r="G113" s="33">
        <v>36480</v>
      </c>
    </row>
    <row r="114" spans="1:7" x14ac:dyDescent="0.3">
      <c r="A114" s="28"/>
      <c r="B114" s="30"/>
      <c r="C114" s="30"/>
      <c r="D114" s="32"/>
      <c r="E114" s="11" t="s">
        <v>194</v>
      </c>
      <c r="F114" s="25">
        <v>14500</v>
      </c>
      <c r="G114" s="33"/>
    </row>
    <row r="115" spans="1:7" x14ac:dyDescent="0.3">
      <c r="A115" s="27">
        <v>56</v>
      </c>
      <c r="B115" s="29"/>
      <c r="C115" s="29" t="s">
        <v>60</v>
      </c>
      <c r="D115" s="31" t="s">
        <v>190</v>
      </c>
      <c r="E115" s="11" t="s">
        <v>193</v>
      </c>
      <c r="F115" s="25">
        <v>19800</v>
      </c>
      <c r="G115" s="33">
        <v>41640</v>
      </c>
    </row>
    <row r="116" spans="1:7" x14ac:dyDescent="0.3">
      <c r="A116" s="28"/>
      <c r="B116" s="30"/>
      <c r="C116" s="30"/>
      <c r="D116" s="32"/>
      <c r="E116" s="11" t="s">
        <v>194</v>
      </c>
      <c r="F116" s="25">
        <v>16500</v>
      </c>
      <c r="G116" s="33"/>
    </row>
    <row r="117" spans="1:7" x14ac:dyDescent="0.3">
      <c r="A117" s="27">
        <v>57</v>
      </c>
      <c r="B117" s="29"/>
      <c r="C117" s="29" t="s">
        <v>61</v>
      </c>
      <c r="D117" s="31" t="s">
        <v>190</v>
      </c>
      <c r="E117" s="11" t="s">
        <v>193</v>
      </c>
      <c r="F117" s="25">
        <v>2400</v>
      </c>
      <c r="G117" s="33">
        <v>4800</v>
      </c>
    </row>
    <row r="118" spans="1:7" x14ac:dyDescent="0.3">
      <c r="A118" s="28"/>
      <c r="B118" s="30"/>
      <c r="C118" s="30"/>
      <c r="D118" s="32"/>
      <c r="E118" s="11" t="s">
        <v>194</v>
      </c>
      <c r="F118" s="25">
        <v>2000</v>
      </c>
      <c r="G118" s="33"/>
    </row>
    <row r="119" spans="1:7" x14ac:dyDescent="0.3">
      <c r="A119" s="27">
        <v>58</v>
      </c>
      <c r="B119" s="29"/>
      <c r="C119" s="29" t="s">
        <v>62</v>
      </c>
      <c r="D119" s="31" t="s">
        <v>190</v>
      </c>
      <c r="E119" s="11" t="s">
        <v>193</v>
      </c>
      <c r="F119" s="25">
        <v>2400</v>
      </c>
      <c r="G119" s="33">
        <v>4800</v>
      </c>
    </row>
    <row r="120" spans="1:7" x14ac:dyDescent="0.3">
      <c r="A120" s="28"/>
      <c r="B120" s="30"/>
      <c r="C120" s="30"/>
      <c r="D120" s="32"/>
      <c r="E120" s="11" t="s">
        <v>194</v>
      </c>
      <c r="F120" s="25">
        <v>2000</v>
      </c>
      <c r="G120" s="33"/>
    </row>
    <row r="121" spans="1:7" x14ac:dyDescent="0.3">
      <c r="A121" s="27">
        <v>59</v>
      </c>
      <c r="B121" s="29"/>
      <c r="C121" s="29" t="s">
        <v>63</v>
      </c>
      <c r="D121" s="31" t="s">
        <v>190</v>
      </c>
      <c r="E121" s="11" t="s">
        <v>193</v>
      </c>
      <c r="F121" s="25">
        <v>2760</v>
      </c>
      <c r="G121" s="33">
        <v>5550</v>
      </c>
    </row>
    <row r="122" spans="1:7" x14ac:dyDescent="0.3">
      <c r="A122" s="28"/>
      <c r="B122" s="30"/>
      <c r="C122" s="30"/>
      <c r="D122" s="32"/>
      <c r="E122" s="11" t="s">
        <v>194</v>
      </c>
      <c r="F122" s="25">
        <v>2300</v>
      </c>
      <c r="G122" s="33"/>
    </row>
    <row r="123" spans="1:7" x14ac:dyDescent="0.3">
      <c r="A123" s="27">
        <v>60</v>
      </c>
      <c r="B123" s="29"/>
      <c r="C123" s="29" t="s">
        <v>64</v>
      </c>
      <c r="D123" s="31" t="s">
        <v>190</v>
      </c>
      <c r="E123" s="11" t="s">
        <v>193</v>
      </c>
      <c r="F123" s="25">
        <v>2760</v>
      </c>
      <c r="G123" s="33">
        <v>5550</v>
      </c>
    </row>
    <row r="124" spans="1:7" x14ac:dyDescent="0.3">
      <c r="A124" s="28"/>
      <c r="B124" s="30"/>
      <c r="C124" s="30"/>
      <c r="D124" s="32"/>
      <c r="E124" s="11" t="s">
        <v>194</v>
      </c>
      <c r="F124" s="25">
        <v>2300</v>
      </c>
      <c r="G124" s="33"/>
    </row>
    <row r="125" spans="1:7" x14ac:dyDescent="0.3">
      <c r="A125" s="27">
        <v>61</v>
      </c>
      <c r="B125" s="29"/>
      <c r="C125" s="29" t="s">
        <v>65</v>
      </c>
      <c r="D125" s="31" t="s">
        <v>190</v>
      </c>
      <c r="E125" s="11" t="s">
        <v>193</v>
      </c>
      <c r="F125" s="25">
        <v>3000</v>
      </c>
      <c r="G125" s="33">
        <v>5550</v>
      </c>
    </row>
    <row r="126" spans="1:7" x14ac:dyDescent="0.3">
      <c r="A126" s="28"/>
      <c r="B126" s="30"/>
      <c r="C126" s="30"/>
      <c r="D126" s="32"/>
      <c r="E126" s="11" t="s">
        <v>194</v>
      </c>
      <c r="F126" s="25">
        <v>2500</v>
      </c>
      <c r="G126" s="33"/>
    </row>
    <row r="127" spans="1:7" x14ac:dyDescent="0.3">
      <c r="A127" s="27">
        <v>62</v>
      </c>
      <c r="B127" s="29"/>
      <c r="C127" s="29" t="s">
        <v>66</v>
      </c>
      <c r="D127" s="31" t="s">
        <v>190</v>
      </c>
      <c r="E127" s="11" t="s">
        <v>193</v>
      </c>
      <c r="F127" s="25">
        <v>3720</v>
      </c>
      <c r="G127" s="33">
        <v>7800</v>
      </c>
    </row>
    <row r="128" spans="1:7" x14ac:dyDescent="0.3">
      <c r="A128" s="28"/>
      <c r="B128" s="30"/>
      <c r="C128" s="30"/>
      <c r="D128" s="32"/>
      <c r="E128" s="11" t="s">
        <v>194</v>
      </c>
      <c r="F128" s="25">
        <v>3100</v>
      </c>
      <c r="G128" s="33"/>
    </row>
    <row r="129" spans="1:7" x14ac:dyDescent="0.3">
      <c r="A129" s="27">
        <v>63</v>
      </c>
      <c r="B129" s="34"/>
      <c r="C129" s="34" t="s">
        <v>67</v>
      </c>
      <c r="D129" s="31" t="s">
        <v>190</v>
      </c>
      <c r="E129" s="11" t="s">
        <v>193</v>
      </c>
      <c r="F129" s="25">
        <v>3720</v>
      </c>
      <c r="G129" s="33">
        <v>7800</v>
      </c>
    </row>
    <row r="130" spans="1:7" x14ac:dyDescent="0.3">
      <c r="A130" s="28"/>
      <c r="B130" s="34"/>
      <c r="C130" s="34"/>
      <c r="D130" s="32"/>
      <c r="E130" s="11" t="s">
        <v>194</v>
      </c>
      <c r="F130" s="25">
        <v>3100</v>
      </c>
      <c r="G130" s="33"/>
    </row>
    <row r="131" spans="1:7" x14ac:dyDescent="0.3">
      <c r="A131" s="27">
        <v>64</v>
      </c>
      <c r="B131" s="34"/>
      <c r="C131" s="34" t="s">
        <v>68</v>
      </c>
      <c r="D131" s="31" t="s">
        <v>190</v>
      </c>
      <c r="E131" s="11" t="s">
        <v>193</v>
      </c>
      <c r="F131" s="25">
        <v>4080</v>
      </c>
      <c r="G131" s="33">
        <v>8550</v>
      </c>
    </row>
    <row r="132" spans="1:7" x14ac:dyDescent="0.3">
      <c r="A132" s="28"/>
      <c r="B132" s="34"/>
      <c r="C132" s="34"/>
      <c r="D132" s="32"/>
      <c r="E132" s="11" t="s">
        <v>194</v>
      </c>
      <c r="F132" s="25">
        <v>3400</v>
      </c>
      <c r="G132" s="33"/>
    </row>
    <row r="133" spans="1:7" x14ac:dyDescent="0.3">
      <c r="A133" s="27">
        <v>65</v>
      </c>
      <c r="B133" s="34"/>
      <c r="C133" s="34" t="s">
        <v>69</v>
      </c>
      <c r="D133" s="31" t="s">
        <v>190</v>
      </c>
      <c r="E133" s="11" t="s">
        <v>193</v>
      </c>
      <c r="F133" s="25">
        <v>4080</v>
      </c>
      <c r="G133" s="33">
        <v>8550</v>
      </c>
    </row>
    <row r="134" spans="1:7" x14ac:dyDescent="0.3">
      <c r="A134" s="28"/>
      <c r="B134" s="34"/>
      <c r="C134" s="34"/>
      <c r="D134" s="32"/>
      <c r="E134" s="11" t="s">
        <v>194</v>
      </c>
      <c r="F134" s="25">
        <v>3400</v>
      </c>
      <c r="G134" s="33"/>
    </row>
    <row r="135" spans="1:7" x14ac:dyDescent="0.3">
      <c r="A135" s="27">
        <v>66</v>
      </c>
      <c r="B135" s="34"/>
      <c r="C135" s="34" t="s">
        <v>70</v>
      </c>
      <c r="D135" s="31" t="s">
        <v>190</v>
      </c>
      <c r="E135" s="11" t="s">
        <v>193</v>
      </c>
      <c r="F135" s="25">
        <v>4560</v>
      </c>
      <c r="G135" s="33">
        <v>8550</v>
      </c>
    </row>
    <row r="136" spans="1:7" x14ac:dyDescent="0.3">
      <c r="A136" s="28"/>
      <c r="B136" s="34"/>
      <c r="C136" s="34"/>
      <c r="D136" s="32"/>
      <c r="E136" s="11" t="s">
        <v>194</v>
      </c>
      <c r="F136" s="25">
        <v>3800</v>
      </c>
      <c r="G136" s="33"/>
    </row>
    <row r="137" spans="1:7" x14ac:dyDescent="0.3">
      <c r="A137" s="27">
        <v>67</v>
      </c>
      <c r="B137" s="34"/>
      <c r="C137" s="34" t="s">
        <v>71</v>
      </c>
      <c r="D137" s="31" t="s">
        <v>190</v>
      </c>
      <c r="E137" s="11" t="s">
        <v>193</v>
      </c>
      <c r="F137" s="25">
        <v>3000</v>
      </c>
      <c r="G137" s="33">
        <v>6180</v>
      </c>
    </row>
    <row r="138" spans="1:7" x14ac:dyDescent="0.3">
      <c r="A138" s="28"/>
      <c r="B138" s="34"/>
      <c r="C138" s="34"/>
      <c r="D138" s="32"/>
      <c r="E138" s="11" t="s">
        <v>194</v>
      </c>
      <c r="F138" s="25">
        <v>2500</v>
      </c>
      <c r="G138" s="33"/>
    </row>
    <row r="139" spans="1:7" x14ac:dyDescent="0.3">
      <c r="A139" s="27">
        <v>68</v>
      </c>
      <c r="B139" s="34"/>
      <c r="C139" s="34" t="s">
        <v>72</v>
      </c>
      <c r="D139" s="31" t="s">
        <v>190</v>
      </c>
      <c r="E139" s="11" t="s">
        <v>193</v>
      </c>
      <c r="F139" s="25">
        <v>2640</v>
      </c>
      <c r="G139" s="33">
        <v>5475</v>
      </c>
    </row>
    <row r="140" spans="1:7" x14ac:dyDescent="0.3">
      <c r="A140" s="28"/>
      <c r="B140" s="34"/>
      <c r="C140" s="34"/>
      <c r="D140" s="32"/>
      <c r="E140" s="11" t="s">
        <v>194</v>
      </c>
      <c r="F140" s="25">
        <v>2200</v>
      </c>
      <c r="G140" s="33"/>
    </row>
    <row r="141" spans="1:7" x14ac:dyDescent="0.3">
      <c r="A141" s="27">
        <v>69</v>
      </c>
      <c r="B141" s="29"/>
      <c r="C141" s="29" t="s">
        <v>73</v>
      </c>
      <c r="D141" s="31" t="s">
        <v>190</v>
      </c>
      <c r="E141" s="11" t="s">
        <v>193</v>
      </c>
      <c r="F141" s="25">
        <v>2280</v>
      </c>
      <c r="G141" s="33">
        <v>4560</v>
      </c>
    </row>
    <row r="142" spans="1:7" x14ac:dyDescent="0.3">
      <c r="A142" s="28"/>
      <c r="B142" s="30"/>
      <c r="C142" s="30"/>
      <c r="D142" s="32"/>
      <c r="E142" s="11" t="s">
        <v>194</v>
      </c>
      <c r="F142" s="25">
        <v>1900</v>
      </c>
      <c r="G142" s="33"/>
    </row>
    <row r="143" spans="1:7" x14ac:dyDescent="0.3">
      <c r="A143" s="27">
        <v>70</v>
      </c>
      <c r="B143" s="29"/>
      <c r="C143" s="29" t="s">
        <v>74</v>
      </c>
      <c r="D143" s="31" t="s">
        <v>190</v>
      </c>
      <c r="E143" s="11" t="s">
        <v>193</v>
      </c>
      <c r="F143" s="25">
        <v>2640</v>
      </c>
      <c r="G143" s="33">
        <v>5460</v>
      </c>
    </row>
    <row r="144" spans="1:7" x14ac:dyDescent="0.3">
      <c r="A144" s="28"/>
      <c r="B144" s="30"/>
      <c r="C144" s="30"/>
      <c r="D144" s="32"/>
      <c r="E144" s="11" t="s">
        <v>194</v>
      </c>
      <c r="F144" s="25">
        <v>2200</v>
      </c>
      <c r="G144" s="33"/>
    </row>
    <row r="145" spans="1:7" x14ac:dyDescent="0.3">
      <c r="A145" s="27">
        <v>71</v>
      </c>
      <c r="B145" s="29"/>
      <c r="C145" s="29" t="s">
        <v>75</v>
      </c>
      <c r="D145" s="31" t="s">
        <v>190</v>
      </c>
      <c r="E145" s="11" t="s">
        <v>193</v>
      </c>
      <c r="F145" s="25">
        <v>2640</v>
      </c>
      <c r="G145" s="33">
        <v>5430</v>
      </c>
    </row>
    <row r="146" spans="1:7" x14ac:dyDescent="0.3">
      <c r="A146" s="28"/>
      <c r="B146" s="30"/>
      <c r="C146" s="30"/>
      <c r="D146" s="32"/>
      <c r="E146" s="11" t="s">
        <v>194</v>
      </c>
      <c r="F146" s="25">
        <v>2200</v>
      </c>
      <c r="G146" s="33"/>
    </row>
    <row r="147" spans="1:7" x14ac:dyDescent="0.3">
      <c r="A147" s="27">
        <v>72</v>
      </c>
      <c r="B147" s="29"/>
      <c r="C147" s="29" t="s">
        <v>76</v>
      </c>
      <c r="D147" s="31" t="s">
        <v>190</v>
      </c>
      <c r="E147" s="11" t="s">
        <v>193</v>
      </c>
      <c r="F147" s="25">
        <v>3600</v>
      </c>
      <c r="G147" s="33">
        <v>7440</v>
      </c>
    </row>
    <row r="148" spans="1:7" x14ac:dyDescent="0.3">
      <c r="A148" s="28"/>
      <c r="B148" s="30"/>
      <c r="C148" s="30"/>
      <c r="D148" s="32"/>
      <c r="E148" s="11" t="s">
        <v>194</v>
      </c>
      <c r="F148" s="25">
        <v>3000</v>
      </c>
      <c r="G148" s="33"/>
    </row>
    <row r="149" spans="1:7" x14ac:dyDescent="0.3">
      <c r="A149" s="27">
        <v>73</v>
      </c>
      <c r="B149" s="29"/>
      <c r="C149" s="29" t="s">
        <v>77</v>
      </c>
      <c r="D149" s="31" t="s">
        <v>190</v>
      </c>
      <c r="E149" s="11" t="s">
        <v>193</v>
      </c>
      <c r="F149" s="25">
        <v>4920</v>
      </c>
      <c r="G149" s="33">
        <v>10260</v>
      </c>
    </row>
    <row r="150" spans="1:7" x14ac:dyDescent="0.3">
      <c r="A150" s="28"/>
      <c r="B150" s="30"/>
      <c r="C150" s="30"/>
      <c r="D150" s="32"/>
      <c r="E150" s="11" t="s">
        <v>194</v>
      </c>
      <c r="F150" s="25">
        <v>4100</v>
      </c>
      <c r="G150" s="33"/>
    </row>
    <row r="151" spans="1:7" x14ac:dyDescent="0.3">
      <c r="A151" s="27">
        <v>74</v>
      </c>
      <c r="B151" s="29"/>
      <c r="C151" s="29" t="s">
        <v>78</v>
      </c>
      <c r="D151" s="31" t="s">
        <v>190</v>
      </c>
      <c r="E151" s="11" t="s">
        <v>193</v>
      </c>
      <c r="F151" s="25">
        <v>2640</v>
      </c>
      <c r="G151" s="33">
        <v>5430</v>
      </c>
    </row>
    <row r="152" spans="1:7" x14ac:dyDescent="0.3">
      <c r="A152" s="28"/>
      <c r="B152" s="30"/>
      <c r="C152" s="30"/>
      <c r="D152" s="32"/>
      <c r="E152" s="11" t="s">
        <v>194</v>
      </c>
      <c r="F152" s="25">
        <v>2200</v>
      </c>
      <c r="G152" s="33"/>
    </row>
    <row r="153" spans="1:7" x14ac:dyDescent="0.3">
      <c r="A153" s="27">
        <v>75</v>
      </c>
      <c r="B153" s="29"/>
      <c r="C153" s="29" t="s">
        <v>79</v>
      </c>
      <c r="D153" s="31" t="s">
        <v>190</v>
      </c>
      <c r="E153" s="11" t="s">
        <v>193</v>
      </c>
      <c r="F153" s="25">
        <v>3600</v>
      </c>
      <c r="G153" s="33">
        <v>7440</v>
      </c>
    </row>
    <row r="154" spans="1:7" x14ac:dyDescent="0.3">
      <c r="A154" s="28"/>
      <c r="B154" s="30"/>
      <c r="C154" s="30"/>
      <c r="D154" s="32"/>
      <c r="E154" s="11" t="s">
        <v>194</v>
      </c>
      <c r="F154" s="25">
        <v>3000</v>
      </c>
      <c r="G154" s="33"/>
    </row>
    <row r="155" spans="1:7" x14ac:dyDescent="0.3">
      <c r="A155" s="27">
        <v>76</v>
      </c>
      <c r="B155" s="29"/>
      <c r="C155" s="29" t="s">
        <v>80</v>
      </c>
      <c r="D155" s="31" t="s">
        <v>190</v>
      </c>
      <c r="E155" s="11" t="s">
        <v>193</v>
      </c>
      <c r="F155" s="25">
        <v>4920</v>
      </c>
      <c r="G155" s="33">
        <v>10260</v>
      </c>
    </row>
    <row r="156" spans="1:7" x14ac:dyDescent="0.3">
      <c r="A156" s="28"/>
      <c r="B156" s="30"/>
      <c r="C156" s="30"/>
      <c r="D156" s="32"/>
      <c r="E156" s="11" t="s">
        <v>194</v>
      </c>
      <c r="F156" s="25">
        <v>4100</v>
      </c>
      <c r="G156" s="33"/>
    </row>
    <row r="157" spans="1:7" x14ac:dyDescent="0.3">
      <c r="A157" s="27">
        <v>77</v>
      </c>
      <c r="B157" s="29"/>
      <c r="C157" s="29" t="s">
        <v>81</v>
      </c>
      <c r="D157" s="31" t="s">
        <v>190</v>
      </c>
      <c r="E157" s="11" t="s">
        <v>193</v>
      </c>
      <c r="F157" s="25">
        <v>12000</v>
      </c>
      <c r="G157" s="33">
        <v>22710</v>
      </c>
    </row>
    <row r="158" spans="1:7" x14ac:dyDescent="0.3">
      <c r="A158" s="28"/>
      <c r="B158" s="30"/>
      <c r="C158" s="30"/>
      <c r="D158" s="32"/>
      <c r="E158" s="11" t="s">
        <v>194</v>
      </c>
      <c r="F158" s="25">
        <v>10000</v>
      </c>
      <c r="G158" s="33"/>
    </row>
    <row r="159" spans="1:7" x14ac:dyDescent="0.3">
      <c r="A159" s="27">
        <v>78</v>
      </c>
      <c r="B159" s="29"/>
      <c r="C159" s="29" t="s">
        <v>82</v>
      </c>
      <c r="D159" s="31" t="s">
        <v>190</v>
      </c>
      <c r="E159" s="11" t="s">
        <v>193</v>
      </c>
      <c r="F159" s="25">
        <v>10800</v>
      </c>
      <c r="G159" s="33">
        <v>20250</v>
      </c>
    </row>
    <row r="160" spans="1:7" x14ac:dyDescent="0.3">
      <c r="A160" s="28"/>
      <c r="B160" s="30"/>
      <c r="C160" s="30"/>
      <c r="D160" s="32"/>
      <c r="E160" s="11" t="s">
        <v>194</v>
      </c>
      <c r="F160" s="25">
        <v>9000</v>
      </c>
      <c r="G160" s="33"/>
    </row>
    <row r="161" spans="1:11" x14ac:dyDescent="0.3">
      <c r="A161" s="27">
        <v>79</v>
      </c>
      <c r="B161" s="29"/>
      <c r="C161" s="29" t="s">
        <v>83</v>
      </c>
      <c r="D161" s="31" t="s">
        <v>190</v>
      </c>
      <c r="E161" s="11" t="s">
        <v>193</v>
      </c>
      <c r="F161" s="25">
        <v>9000</v>
      </c>
      <c r="G161" s="33">
        <v>16920</v>
      </c>
    </row>
    <row r="162" spans="1:11" x14ac:dyDescent="0.3">
      <c r="A162" s="28"/>
      <c r="B162" s="30"/>
      <c r="C162" s="30"/>
      <c r="D162" s="32"/>
      <c r="E162" s="11" t="s">
        <v>194</v>
      </c>
      <c r="F162" s="25">
        <v>7500</v>
      </c>
      <c r="G162" s="33"/>
    </row>
    <row r="163" spans="1:11" x14ac:dyDescent="0.3">
      <c r="A163" s="27">
        <v>80</v>
      </c>
      <c r="B163" s="29"/>
      <c r="C163" s="29" t="s">
        <v>84</v>
      </c>
      <c r="D163" s="31" t="s">
        <v>190</v>
      </c>
      <c r="E163" s="11" t="s">
        <v>193</v>
      </c>
      <c r="F163" s="25">
        <v>12120</v>
      </c>
      <c r="G163" s="33">
        <v>22860</v>
      </c>
    </row>
    <row r="164" spans="1:11" x14ac:dyDescent="0.3">
      <c r="A164" s="28"/>
      <c r="B164" s="30"/>
      <c r="C164" s="30"/>
      <c r="D164" s="32"/>
      <c r="E164" s="11" t="s">
        <v>194</v>
      </c>
      <c r="F164" s="25">
        <v>10100</v>
      </c>
      <c r="G164" s="33"/>
    </row>
    <row r="165" spans="1:11" x14ac:dyDescent="0.3">
      <c r="A165" s="27">
        <v>81</v>
      </c>
      <c r="B165" s="29"/>
      <c r="C165" s="29" t="s">
        <v>85</v>
      </c>
      <c r="D165" s="31" t="s">
        <v>190</v>
      </c>
      <c r="E165" s="11" t="s">
        <v>193</v>
      </c>
      <c r="F165" s="25">
        <v>18840</v>
      </c>
      <c r="G165" s="33">
        <v>35550</v>
      </c>
    </row>
    <row r="166" spans="1:11" x14ac:dyDescent="0.3">
      <c r="A166" s="28"/>
      <c r="B166" s="30"/>
      <c r="C166" s="30"/>
      <c r="D166" s="32"/>
      <c r="E166" s="11" t="s">
        <v>194</v>
      </c>
      <c r="F166" s="25">
        <v>15700</v>
      </c>
      <c r="G166" s="33"/>
    </row>
    <row r="167" spans="1:11" x14ac:dyDescent="0.3">
      <c r="A167" s="27">
        <v>82</v>
      </c>
      <c r="B167" s="29"/>
      <c r="C167" s="29" t="s">
        <v>86</v>
      </c>
      <c r="D167" s="31" t="s">
        <v>190</v>
      </c>
      <c r="E167" s="11" t="s">
        <v>193</v>
      </c>
      <c r="F167" s="25">
        <v>15840</v>
      </c>
      <c r="G167" s="33">
        <v>30000</v>
      </c>
    </row>
    <row r="168" spans="1:11" x14ac:dyDescent="0.3">
      <c r="A168" s="28"/>
      <c r="B168" s="30"/>
      <c r="C168" s="30"/>
      <c r="D168" s="32"/>
      <c r="E168" s="11" t="s">
        <v>194</v>
      </c>
      <c r="F168" s="25">
        <v>13200</v>
      </c>
      <c r="G168" s="33"/>
    </row>
    <row r="169" spans="1:11" x14ac:dyDescent="0.3">
      <c r="A169" s="27">
        <v>83</v>
      </c>
      <c r="B169" s="29"/>
      <c r="C169" s="29" t="s">
        <v>87</v>
      </c>
      <c r="D169" s="31" t="s">
        <v>190</v>
      </c>
      <c r="E169" s="11" t="s">
        <v>193</v>
      </c>
      <c r="F169" s="25">
        <v>6240</v>
      </c>
      <c r="G169" s="33">
        <v>11700</v>
      </c>
    </row>
    <row r="170" spans="1:11" x14ac:dyDescent="0.3">
      <c r="A170" s="28"/>
      <c r="B170" s="30"/>
      <c r="C170" s="30"/>
      <c r="D170" s="32"/>
      <c r="E170" s="11" t="s">
        <v>194</v>
      </c>
      <c r="F170" s="25">
        <v>5200</v>
      </c>
      <c r="G170" s="33"/>
    </row>
    <row r="171" spans="1:11" x14ac:dyDescent="0.3">
      <c r="A171" s="27">
        <v>84</v>
      </c>
      <c r="B171" s="29"/>
      <c r="C171" s="29" t="s">
        <v>88</v>
      </c>
      <c r="D171" s="31" t="s">
        <v>190</v>
      </c>
      <c r="E171" s="11" t="s">
        <v>193</v>
      </c>
      <c r="F171" s="25">
        <v>9240</v>
      </c>
      <c r="G171" s="33">
        <v>17340</v>
      </c>
    </row>
    <row r="172" spans="1:11" x14ac:dyDescent="0.3">
      <c r="A172" s="28"/>
      <c r="B172" s="30"/>
      <c r="C172" s="30"/>
      <c r="D172" s="32"/>
      <c r="E172" s="11" t="s">
        <v>194</v>
      </c>
      <c r="F172" s="25">
        <v>7700</v>
      </c>
      <c r="G172" s="33"/>
    </row>
    <row r="173" spans="1:11" x14ac:dyDescent="0.3">
      <c r="A173" s="27">
        <v>85</v>
      </c>
      <c r="B173" s="29"/>
      <c r="C173" s="29" t="s">
        <v>89</v>
      </c>
      <c r="D173" s="31" t="s">
        <v>190</v>
      </c>
      <c r="E173" s="11" t="s">
        <v>193</v>
      </c>
      <c r="F173" s="25">
        <v>15000</v>
      </c>
      <c r="G173" s="33">
        <v>28350</v>
      </c>
    </row>
    <row r="174" spans="1:11" x14ac:dyDescent="0.3">
      <c r="A174" s="28"/>
      <c r="B174" s="30"/>
      <c r="C174" s="30"/>
      <c r="D174" s="32"/>
      <c r="E174" s="11" t="s">
        <v>194</v>
      </c>
      <c r="F174" s="25">
        <v>12500</v>
      </c>
      <c r="G174" s="33"/>
    </row>
    <row r="175" spans="1:11" x14ac:dyDescent="0.3">
      <c r="A175" s="27">
        <v>86</v>
      </c>
      <c r="B175" s="29"/>
      <c r="C175" s="29" t="s">
        <v>90</v>
      </c>
      <c r="D175" s="31" t="s">
        <v>190</v>
      </c>
      <c r="E175" s="11" t="s">
        <v>193</v>
      </c>
      <c r="F175" s="25">
        <v>34320</v>
      </c>
      <c r="G175" s="33">
        <v>64800</v>
      </c>
      <c r="K175" s="15"/>
    </row>
    <row r="176" spans="1:11" x14ac:dyDescent="0.3">
      <c r="A176" s="28"/>
      <c r="B176" s="30"/>
      <c r="C176" s="30"/>
      <c r="D176" s="32"/>
      <c r="E176" s="11" t="s">
        <v>194</v>
      </c>
      <c r="F176" s="25">
        <v>28600</v>
      </c>
      <c r="G176" s="33"/>
    </row>
    <row r="177" spans="1:7" x14ac:dyDescent="0.3">
      <c r="A177" s="27">
        <v>87</v>
      </c>
      <c r="B177" s="29"/>
      <c r="C177" s="29" t="s">
        <v>91</v>
      </c>
      <c r="D177" s="31" t="s">
        <v>190</v>
      </c>
      <c r="E177" s="11" t="s">
        <v>193</v>
      </c>
      <c r="F177" s="25">
        <v>47280</v>
      </c>
      <c r="G177" s="33">
        <v>89400</v>
      </c>
    </row>
    <row r="178" spans="1:7" x14ac:dyDescent="0.3">
      <c r="A178" s="28"/>
      <c r="B178" s="30"/>
      <c r="C178" s="30"/>
      <c r="D178" s="32"/>
      <c r="E178" s="11" t="s">
        <v>194</v>
      </c>
      <c r="F178" s="25">
        <v>39400</v>
      </c>
      <c r="G178" s="33"/>
    </row>
    <row r="179" spans="1:7" x14ac:dyDescent="0.3">
      <c r="A179" s="27">
        <v>88</v>
      </c>
      <c r="B179" s="29"/>
      <c r="C179" s="29" t="s">
        <v>92</v>
      </c>
      <c r="D179" s="31" t="s">
        <v>190</v>
      </c>
      <c r="E179" s="11" t="s">
        <v>193</v>
      </c>
      <c r="F179" s="25">
        <v>720</v>
      </c>
      <c r="G179" s="33">
        <v>1350</v>
      </c>
    </row>
    <row r="180" spans="1:7" x14ac:dyDescent="0.3">
      <c r="A180" s="28"/>
      <c r="B180" s="30"/>
      <c r="C180" s="30"/>
      <c r="D180" s="32"/>
      <c r="E180" s="11" t="s">
        <v>194</v>
      </c>
      <c r="F180" s="25">
        <v>600</v>
      </c>
      <c r="G180" s="33"/>
    </row>
    <row r="181" spans="1:7" x14ac:dyDescent="0.3">
      <c r="A181" s="27">
        <v>89</v>
      </c>
      <c r="B181" s="29"/>
      <c r="C181" s="29" t="s">
        <v>93</v>
      </c>
      <c r="D181" s="31" t="s">
        <v>190</v>
      </c>
      <c r="E181" s="11" t="s">
        <v>193</v>
      </c>
      <c r="F181" s="25">
        <v>8400</v>
      </c>
      <c r="G181" s="33">
        <v>17460</v>
      </c>
    </row>
    <row r="182" spans="1:7" x14ac:dyDescent="0.3">
      <c r="A182" s="28"/>
      <c r="B182" s="30"/>
      <c r="C182" s="30"/>
      <c r="D182" s="32"/>
      <c r="E182" s="11" t="s">
        <v>194</v>
      </c>
      <c r="F182" s="25">
        <v>7000</v>
      </c>
      <c r="G182" s="33"/>
    </row>
    <row r="183" spans="1:7" x14ac:dyDescent="0.3">
      <c r="A183" s="27">
        <v>90</v>
      </c>
      <c r="B183" s="29"/>
      <c r="C183" s="29" t="s">
        <v>94</v>
      </c>
      <c r="D183" s="31" t="s">
        <v>190</v>
      </c>
      <c r="E183" s="11" t="s">
        <v>193</v>
      </c>
      <c r="F183" s="25">
        <v>9240</v>
      </c>
      <c r="G183" s="33">
        <v>19200</v>
      </c>
    </row>
    <row r="184" spans="1:7" x14ac:dyDescent="0.3">
      <c r="A184" s="28"/>
      <c r="B184" s="30"/>
      <c r="C184" s="30"/>
      <c r="D184" s="32"/>
      <c r="E184" s="11" t="s">
        <v>194</v>
      </c>
      <c r="F184" s="25">
        <v>7700</v>
      </c>
      <c r="G184" s="33"/>
    </row>
    <row r="185" spans="1:7" x14ac:dyDescent="0.3">
      <c r="A185" s="27">
        <v>91</v>
      </c>
      <c r="B185" s="29"/>
      <c r="C185" s="29" t="s">
        <v>95</v>
      </c>
      <c r="D185" s="31" t="s">
        <v>190</v>
      </c>
      <c r="E185" s="11" t="s">
        <v>193</v>
      </c>
      <c r="F185" s="25">
        <v>10080</v>
      </c>
      <c r="G185" s="33">
        <v>20970</v>
      </c>
    </row>
    <row r="186" spans="1:7" x14ac:dyDescent="0.3">
      <c r="A186" s="28"/>
      <c r="B186" s="30"/>
      <c r="C186" s="30"/>
      <c r="D186" s="32"/>
      <c r="E186" s="11" t="s">
        <v>194</v>
      </c>
      <c r="F186" s="25">
        <v>8400</v>
      </c>
      <c r="G186" s="33"/>
    </row>
    <row r="187" spans="1:7" x14ac:dyDescent="0.3">
      <c r="A187" s="27">
        <v>92</v>
      </c>
      <c r="B187" s="29"/>
      <c r="C187" s="29" t="s">
        <v>96</v>
      </c>
      <c r="D187" s="31" t="s">
        <v>190</v>
      </c>
      <c r="E187" s="11" t="s">
        <v>193</v>
      </c>
      <c r="F187" s="25">
        <v>11160</v>
      </c>
      <c r="G187" s="33">
        <v>23310</v>
      </c>
    </row>
    <row r="188" spans="1:7" x14ac:dyDescent="0.3">
      <c r="A188" s="28"/>
      <c r="B188" s="30"/>
      <c r="C188" s="30"/>
      <c r="D188" s="32"/>
      <c r="E188" s="11" t="s">
        <v>194</v>
      </c>
      <c r="F188" s="25">
        <v>9300</v>
      </c>
      <c r="G188" s="33"/>
    </row>
    <row r="189" spans="1:7" x14ac:dyDescent="0.3">
      <c r="A189" s="27">
        <v>93</v>
      </c>
      <c r="B189" s="29"/>
      <c r="C189" s="29" t="s">
        <v>97</v>
      </c>
      <c r="D189" s="31" t="s">
        <v>190</v>
      </c>
      <c r="E189" s="11" t="s">
        <v>193</v>
      </c>
      <c r="F189" s="25">
        <v>12480</v>
      </c>
      <c r="G189" s="33">
        <v>26100</v>
      </c>
    </row>
    <row r="190" spans="1:7" x14ac:dyDescent="0.3">
      <c r="A190" s="28"/>
      <c r="B190" s="30"/>
      <c r="C190" s="30"/>
      <c r="D190" s="32"/>
      <c r="E190" s="11" t="s">
        <v>194</v>
      </c>
      <c r="F190" s="25">
        <v>10400</v>
      </c>
      <c r="G190" s="33"/>
    </row>
    <row r="191" spans="1:7" x14ac:dyDescent="0.3">
      <c r="A191" s="27">
        <v>94</v>
      </c>
      <c r="B191" s="29"/>
      <c r="C191" s="29" t="s">
        <v>98</v>
      </c>
      <c r="D191" s="31" t="s">
        <v>190</v>
      </c>
      <c r="E191" s="11" t="s">
        <v>193</v>
      </c>
      <c r="F191" s="25">
        <v>11400</v>
      </c>
      <c r="G191" s="33">
        <v>23820</v>
      </c>
    </row>
    <row r="192" spans="1:7" x14ac:dyDescent="0.3">
      <c r="A192" s="28"/>
      <c r="B192" s="30"/>
      <c r="C192" s="30"/>
      <c r="D192" s="32"/>
      <c r="E192" s="11" t="s">
        <v>194</v>
      </c>
      <c r="F192" s="25">
        <v>9500</v>
      </c>
      <c r="G192" s="33"/>
    </row>
    <row r="193" spans="1:7" x14ac:dyDescent="0.3">
      <c r="A193" s="27">
        <v>95</v>
      </c>
      <c r="B193" s="29"/>
      <c r="C193" s="29" t="s">
        <v>99</v>
      </c>
      <c r="D193" s="31" t="s">
        <v>190</v>
      </c>
      <c r="E193" s="11" t="s">
        <v>193</v>
      </c>
      <c r="F193" s="25">
        <v>13080</v>
      </c>
      <c r="G193" s="33">
        <v>27390</v>
      </c>
    </row>
    <row r="194" spans="1:7" x14ac:dyDescent="0.3">
      <c r="A194" s="28"/>
      <c r="B194" s="30"/>
      <c r="C194" s="30"/>
      <c r="D194" s="32"/>
      <c r="E194" s="11" t="s">
        <v>194</v>
      </c>
      <c r="F194" s="25">
        <v>10900</v>
      </c>
      <c r="G194" s="33"/>
    </row>
    <row r="195" spans="1:7" x14ac:dyDescent="0.3">
      <c r="A195" s="27">
        <v>96</v>
      </c>
      <c r="B195" s="29"/>
      <c r="C195" s="29" t="s">
        <v>100</v>
      </c>
      <c r="D195" s="31" t="s">
        <v>190</v>
      </c>
      <c r="E195" s="11" t="s">
        <v>193</v>
      </c>
      <c r="F195" s="25">
        <v>14040</v>
      </c>
      <c r="G195" s="33">
        <v>29370</v>
      </c>
    </row>
    <row r="196" spans="1:7" x14ac:dyDescent="0.3">
      <c r="A196" s="28"/>
      <c r="B196" s="30"/>
      <c r="C196" s="30"/>
      <c r="D196" s="32"/>
      <c r="E196" s="11" t="s">
        <v>194</v>
      </c>
      <c r="F196" s="25">
        <v>11700</v>
      </c>
      <c r="G196" s="33"/>
    </row>
    <row r="197" spans="1:7" x14ac:dyDescent="0.3">
      <c r="A197" s="27">
        <v>97</v>
      </c>
      <c r="B197" s="29"/>
      <c r="C197" s="29" t="s">
        <v>101</v>
      </c>
      <c r="D197" s="31" t="s">
        <v>190</v>
      </c>
      <c r="E197" s="11" t="s">
        <v>193</v>
      </c>
      <c r="F197" s="25">
        <v>16680</v>
      </c>
      <c r="G197" s="33">
        <v>34950</v>
      </c>
    </row>
    <row r="198" spans="1:7" x14ac:dyDescent="0.3">
      <c r="A198" s="28"/>
      <c r="B198" s="30"/>
      <c r="C198" s="30"/>
      <c r="D198" s="32"/>
      <c r="E198" s="11" t="s">
        <v>194</v>
      </c>
      <c r="F198" s="25">
        <v>13900</v>
      </c>
      <c r="G198" s="33"/>
    </row>
    <row r="199" spans="1:7" x14ac:dyDescent="0.3">
      <c r="A199" s="27">
        <v>98</v>
      </c>
      <c r="B199" s="29"/>
      <c r="C199" s="29" t="s">
        <v>102</v>
      </c>
      <c r="D199" s="31" t="s">
        <v>190</v>
      </c>
      <c r="E199" s="11" t="s">
        <v>193</v>
      </c>
      <c r="F199" s="25">
        <v>19200</v>
      </c>
      <c r="G199" s="33">
        <v>40200</v>
      </c>
    </row>
    <row r="200" spans="1:7" x14ac:dyDescent="0.3">
      <c r="A200" s="28"/>
      <c r="B200" s="30"/>
      <c r="C200" s="30"/>
      <c r="D200" s="32"/>
      <c r="E200" s="11" t="s">
        <v>194</v>
      </c>
      <c r="F200" s="25">
        <v>16000</v>
      </c>
      <c r="G200" s="33"/>
    </row>
    <row r="201" spans="1:7" x14ac:dyDescent="0.3">
      <c r="A201" s="27">
        <v>99</v>
      </c>
      <c r="B201" s="29"/>
      <c r="C201" s="29" t="s">
        <v>103</v>
      </c>
      <c r="D201" s="31" t="s">
        <v>190</v>
      </c>
      <c r="E201" s="11" t="s">
        <v>193</v>
      </c>
      <c r="F201" s="25">
        <v>17400</v>
      </c>
      <c r="G201" s="33">
        <v>36570</v>
      </c>
    </row>
    <row r="202" spans="1:7" x14ac:dyDescent="0.3">
      <c r="A202" s="28"/>
      <c r="B202" s="30"/>
      <c r="C202" s="30"/>
      <c r="D202" s="32"/>
      <c r="E202" s="11" t="s">
        <v>194</v>
      </c>
      <c r="F202" s="25">
        <v>14500</v>
      </c>
      <c r="G202" s="33"/>
    </row>
    <row r="203" spans="1:7" x14ac:dyDescent="0.3">
      <c r="A203" s="27">
        <v>100</v>
      </c>
      <c r="B203" s="29"/>
      <c r="C203" s="29" t="s">
        <v>104</v>
      </c>
      <c r="D203" s="31" t="s">
        <v>190</v>
      </c>
      <c r="E203" s="11" t="s">
        <v>193</v>
      </c>
      <c r="F203" s="25">
        <v>19920</v>
      </c>
      <c r="G203" s="33">
        <v>41880</v>
      </c>
    </row>
    <row r="204" spans="1:7" x14ac:dyDescent="0.3">
      <c r="A204" s="28"/>
      <c r="B204" s="30"/>
      <c r="C204" s="30"/>
      <c r="D204" s="32"/>
      <c r="E204" s="11" t="s">
        <v>194</v>
      </c>
      <c r="F204" s="25">
        <v>16600</v>
      </c>
      <c r="G204" s="33"/>
    </row>
    <row r="205" spans="1:7" x14ac:dyDescent="0.3">
      <c r="A205" s="27">
        <v>101</v>
      </c>
      <c r="B205" s="29"/>
      <c r="C205" s="29" t="s">
        <v>105</v>
      </c>
      <c r="D205" s="31" t="s">
        <v>190</v>
      </c>
      <c r="E205" s="11" t="s">
        <v>193</v>
      </c>
      <c r="F205" s="25">
        <v>21360</v>
      </c>
      <c r="G205" s="33">
        <v>44820</v>
      </c>
    </row>
    <row r="206" spans="1:7" x14ac:dyDescent="0.3">
      <c r="A206" s="28"/>
      <c r="B206" s="30"/>
      <c r="C206" s="30"/>
      <c r="D206" s="32"/>
      <c r="E206" s="11" t="s">
        <v>194</v>
      </c>
      <c r="F206" s="25">
        <v>17800</v>
      </c>
      <c r="G206" s="33"/>
    </row>
    <row r="207" spans="1:7" x14ac:dyDescent="0.3">
      <c r="A207" s="27">
        <v>102</v>
      </c>
      <c r="B207" s="29"/>
      <c r="C207" s="29" t="s">
        <v>106</v>
      </c>
      <c r="D207" s="31" t="s">
        <v>190</v>
      </c>
      <c r="E207" s="11" t="s">
        <v>193</v>
      </c>
      <c r="F207" s="25">
        <v>23520</v>
      </c>
      <c r="G207" s="33">
        <v>49290</v>
      </c>
    </row>
    <row r="208" spans="1:7" x14ac:dyDescent="0.3">
      <c r="A208" s="28"/>
      <c r="B208" s="30"/>
      <c r="C208" s="30"/>
      <c r="D208" s="32"/>
      <c r="E208" s="11" t="s">
        <v>194</v>
      </c>
      <c r="F208" s="25">
        <v>19600</v>
      </c>
      <c r="G208" s="33"/>
    </row>
    <row r="209" spans="1:7" x14ac:dyDescent="0.3">
      <c r="A209" s="27">
        <v>103</v>
      </c>
      <c r="B209" s="29"/>
      <c r="C209" s="29" t="s">
        <v>107</v>
      </c>
      <c r="D209" s="31" t="s">
        <v>190</v>
      </c>
      <c r="E209" s="11" t="s">
        <v>193</v>
      </c>
      <c r="F209" s="25">
        <v>27120</v>
      </c>
      <c r="G209" s="33">
        <v>56820</v>
      </c>
    </row>
    <row r="210" spans="1:7" x14ac:dyDescent="0.3">
      <c r="A210" s="28"/>
      <c r="B210" s="30"/>
      <c r="C210" s="30"/>
      <c r="D210" s="32"/>
      <c r="E210" s="11" t="s">
        <v>194</v>
      </c>
      <c r="F210" s="25">
        <v>22600</v>
      </c>
      <c r="G210" s="33"/>
    </row>
    <row r="211" spans="1:7" x14ac:dyDescent="0.3">
      <c r="A211" s="27">
        <v>104</v>
      </c>
      <c r="B211" s="29"/>
      <c r="C211" s="29" t="s">
        <v>108</v>
      </c>
      <c r="D211" s="31" t="s">
        <v>190</v>
      </c>
      <c r="E211" s="11" t="s">
        <v>193</v>
      </c>
      <c r="F211" s="25">
        <v>8100</v>
      </c>
      <c r="G211" s="33">
        <v>16860</v>
      </c>
    </row>
    <row r="212" spans="1:7" x14ac:dyDescent="0.3">
      <c r="A212" s="28"/>
      <c r="B212" s="30"/>
      <c r="C212" s="30"/>
      <c r="D212" s="32"/>
      <c r="E212" s="11" t="s">
        <v>194</v>
      </c>
      <c r="F212" s="25">
        <v>6700</v>
      </c>
      <c r="G212" s="33"/>
    </row>
    <row r="213" spans="1:7" x14ac:dyDescent="0.3">
      <c r="A213" s="27">
        <v>105</v>
      </c>
      <c r="B213" s="29"/>
      <c r="C213" s="29" t="s">
        <v>109</v>
      </c>
      <c r="D213" s="31" t="s">
        <v>190</v>
      </c>
      <c r="E213" s="11" t="s">
        <v>193</v>
      </c>
      <c r="F213" s="25">
        <v>8520</v>
      </c>
      <c r="G213" s="33">
        <v>17790</v>
      </c>
    </row>
    <row r="214" spans="1:7" x14ac:dyDescent="0.3">
      <c r="A214" s="28"/>
      <c r="B214" s="30"/>
      <c r="C214" s="30"/>
      <c r="D214" s="32"/>
      <c r="E214" s="11" t="s">
        <v>194</v>
      </c>
      <c r="F214" s="25">
        <v>7100</v>
      </c>
      <c r="G214" s="33"/>
    </row>
    <row r="215" spans="1:7" x14ac:dyDescent="0.3">
      <c r="A215" s="27">
        <v>106</v>
      </c>
      <c r="B215" s="29"/>
      <c r="C215" s="29" t="s">
        <v>110</v>
      </c>
      <c r="D215" s="31" t="s">
        <v>190</v>
      </c>
      <c r="E215" s="11" t="s">
        <v>193</v>
      </c>
      <c r="F215" s="25">
        <v>9240</v>
      </c>
      <c r="G215" s="33">
        <v>19200</v>
      </c>
    </row>
    <row r="216" spans="1:7" x14ac:dyDescent="0.3">
      <c r="A216" s="28"/>
      <c r="B216" s="30"/>
      <c r="C216" s="30"/>
      <c r="D216" s="32"/>
      <c r="E216" s="11" t="s">
        <v>194</v>
      </c>
      <c r="F216" s="25">
        <v>7700</v>
      </c>
      <c r="G216" s="33"/>
    </row>
    <row r="217" spans="1:7" x14ac:dyDescent="0.3">
      <c r="A217" s="27">
        <v>107</v>
      </c>
      <c r="B217" s="29"/>
      <c r="C217" s="29" t="s">
        <v>111</v>
      </c>
      <c r="D217" s="31" t="s">
        <v>190</v>
      </c>
      <c r="E217" s="11" t="s">
        <v>193</v>
      </c>
      <c r="F217" s="25">
        <v>9960</v>
      </c>
      <c r="G217" s="33">
        <v>20790</v>
      </c>
    </row>
    <row r="218" spans="1:7" x14ac:dyDescent="0.3">
      <c r="A218" s="28"/>
      <c r="B218" s="30"/>
      <c r="C218" s="30"/>
      <c r="D218" s="32"/>
      <c r="E218" s="11" t="s">
        <v>194</v>
      </c>
      <c r="F218" s="25">
        <v>8300</v>
      </c>
      <c r="G218" s="33"/>
    </row>
    <row r="219" spans="1:7" x14ac:dyDescent="0.3">
      <c r="A219" s="27">
        <v>108</v>
      </c>
      <c r="B219" s="29"/>
      <c r="C219" s="29" t="s">
        <v>112</v>
      </c>
      <c r="D219" s="31" t="s">
        <v>190</v>
      </c>
      <c r="E219" s="11" t="s">
        <v>193</v>
      </c>
      <c r="F219" s="25">
        <v>8040</v>
      </c>
      <c r="G219" s="33">
        <v>16860</v>
      </c>
    </row>
    <row r="220" spans="1:7" x14ac:dyDescent="0.3">
      <c r="A220" s="28"/>
      <c r="B220" s="30"/>
      <c r="C220" s="30"/>
      <c r="D220" s="32"/>
      <c r="E220" s="11" t="s">
        <v>194</v>
      </c>
      <c r="F220" s="25">
        <v>6700</v>
      </c>
      <c r="G220" s="33"/>
    </row>
    <row r="221" spans="1:7" x14ac:dyDescent="0.3">
      <c r="A221" s="27">
        <v>109</v>
      </c>
      <c r="B221" s="29"/>
      <c r="C221" s="29" t="s">
        <v>113</v>
      </c>
      <c r="D221" s="31" t="s">
        <v>190</v>
      </c>
      <c r="E221" s="11" t="s">
        <v>193</v>
      </c>
      <c r="F221" s="25">
        <v>8520</v>
      </c>
      <c r="G221" s="33">
        <v>17790</v>
      </c>
    </row>
    <row r="222" spans="1:7" x14ac:dyDescent="0.3">
      <c r="A222" s="28"/>
      <c r="B222" s="30"/>
      <c r="C222" s="30"/>
      <c r="D222" s="32"/>
      <c r="E222" s="11" t="s">
        <v>194</v>
      </c>
      <c r="F222" s="25">
        <v>7100</v>
      </c>
      <c r="G222" s="33"/>
    </row>
    <row r="223" spans="1:7" x14ac:dyDescent="0.3">
      <c r="A223" s="27">
        <v>110</v>
      </c>
      <c r="B223" s="29"/>
      <c r="C223" s="29" t="s">
        <v>114</v>
      </c>
      <c r="D223" s="31" t="s">
        <v>190</v>
      </c>
      <c r="E223" s="11" t="s">
        <v>193</v>
      </c>
      <c r="F223" s="25">
        <v>7200</v>
      </c>
      <c r="G223" s="33">
        <v>15120</v>
      </c>
    </row>
    <row r="224" spans="1:7" x14ac:dyDescent="0.3">
      <c r="A224" s="28"/>
      <c r="B224" s="30"/>
      <c r="C224" s="30"/>
      <c r="D224" s="32"/>
      <c r="E224" s="11" t="s">
        <v>194</v>
      </c>
      <c r="F224" s="25">
        <v>6000</v>
      </c>
      <c r="G224" s="33"/>
    </row>
    <row r="225" spans="1:7" x14ac:dyDescent="0.3">
      <c r="A225" s="27">
        <v>111</v>
      </c>
      <c r="B225" s="29"/>
      <c r="C225" s="29" t="s">
        <v>115</v>
      </c>
      <c r="D225" s="31" t="s">
        <v>190</v>
      </c>
      <c r="E225" s="11" t="s">
        <v>193</v>
      </c>
      <c r="F225" s="25">
        <v>9000</v>
      </c>
      <c r="G225" s="33">
        <v>18720</v>
      </c>
    </row>
    <row r="226" spans="1:7" x14ac:dyDescent="0.3">
      <c r="A226" s="28"/>
      <c r="B226" s="30"/>
      <c r="C226" s="30"/>
      <c r="D226" s="32"/>
      <c r="E226" s="11" t="s">
        <v>194</v>
      </c>
      <c r="F226" s="25">
        <v>7500</v>
      </c>
      <c r="G226" s="33"/>
    </row>
    <row r="227" spans="1:7" x14ac:dyDescent="0.3">
      <c r="A227" s="27">
        <v>112</v>
      </c>
      <c r="B227" s="29"/>
      <c r="C227" s="29" t="s">
        <v>116</v>
      </c>
      <c r="D227" s="31" t="s">
        <v>190</v>
      </c>
      <c r="E227" s="11" t="s">
        <v>193</v>
      </c>
      <c r="F227" s="25">
        <v>5640</v>
      </c>
      <c r="G227" s="33">
        <v>11820</v>
      </c>
    </row>
    <row r="228" spans="1:7" x14ac:dyDescent="0.3">
      <c r="A228" s="28"/>
      <c r="B228" s="30"/>
      <c r="C228" s="30"/>
      <c r="D228" s="32"/>
      <c r="E228" s="11" t="s">
        <v>194</v>
      </c>
      <c r="F228" s="25">
        <v>4700</v>
      </c>
      <c r="G228" s="33"/>
    </row>
    <row r="229" spans="1:7" x14ac:dyDescent="0.3">
      <c r="A229" s="27">
        <v>113</v>
      </c>
      <c r="B229" s="29"/>
      <c r="C229" s="29" t="s">
        <v>117</v>
      </c>
      <c r="D229" s="31" t="s">
        <v>190</v>
      </c>
      <c r="E229" s="11" t="s">
        <v>193</v>
      </c>
      <c r="F229" s="25">
        <v>6840</v>
      </c>
      <c r="G229" s="33">
        <v>14280</v>
      </c>
    </row>
    <row r="230" spans="1:7" x14ac:dyDescent="0.3">
      <c r="A230" s="28"/>
      <c r="B230" s="30"/>
      <c r="C230" s="30"/>
      <c r="D230" s="32"/>
      <c r="E230" s="11" t="s">
        <v>194</v>
      </c>
      <c r="F230" s="25">
        <v>5700</v>
      </c>
      <c r="G230" s="33"/>
    </row>
    <row r="231" spans="1:7" x14ac:dyDescent="0.3">
      <c r="A231" s="27">
        <v>114</v>
      </c>
      <c r="B231" s="29"/>
      <c r="C231" s="29" t="s">
        <v>118</v>
      </c>
      <c r="D231" s="31" t="s">
        <v>190</v>
      </c>
      <c r="E231" s="11" t="s">
        <v>193</v>
      </c>
      <c r="F231" s="25">
        <v>8160</v>
      </c>
      <c r="G231" s="33">
        <v>17160</v>
      </c>
    </row>
    <row r="232" spans="1:7" x14ac:dyDescent="0.3">
      <c r="A232" s="28"/>
      <c r="B232" s="30"/>
      <c r="C232" s="30"/>
      <c r="D232" s="32"/>
      <c r="E232" s="11" t="s">
        <v>194</v>
      </c>
      <c r="F232" s="25">
        <v>6800</v>
      </c>
      <c r="G232" s="33"/>
    </row>
    <row r="233" spans="1:7" x14ac:dyDescent="0.3">
      <c r="A233" s="27">
        <v>115</v>
      </c>
      <c r="B233" s="29"/>
      <c r="C233" s="29" t="s">
        <v>119</v>
      </c>
      <c r="D233" s="31" t="s">
        <v>190</v>
      </c>
      <c r="E233" s="11" t="s">
        <v>193</v>
      </c>
      <c r="F233" s="25">
        <v>4320</v>
      </c>
      <c r="G233" s="33">
        <v>8850</v>
      </c>
    </row>
    <row r="234" spans="1:7" x14ac:dyDescent="0.3">
      <c r="A234" s="28"/>
      <c r="B234" s="30"/>
      <c r="C234" s="30"/>
      <c r="D234" s="32"/>
      <c r="E234" s="11" t="s">
        <v>194</v>
      </c>
      <c r="F234" s="25">
        <v>3600</v>
      </c>
      <c r="G234" s="33"/>
    </row>
    <row r="235" spans="1:7" x14ac:dyDescent="0.3">
      <c r="A235" s="27">
        <v>116</v>
      </c>
      <c r="B235" s="29"/>
      <c r="C235" s="29" t="s">
        <v>120</v>
      </c>
      <c r="D235" s="31" t="s">
        <v>190</v>
      </c>
      <c r="E235" s="11" t="s">
        <v>193</v>
      </c>
      <c r="F235" s="25">
        <v>5160</v>
      </c>
      <c r="G235" s="33">
        <v>10710</v>
      </c>
    </row>
    <row r="236" spans="1:7" x14ac:dyDescent="0.3">
      <c r="A236" s="28"/>
      <c r="B236" s="30"/>
      <c r="C236" s="30"/>
      <c r="D236" s="32"/>
      <c r="E236" s="11" t="s">
        <v>194</v>
      </c>
      <c r="F236" s="25">
        <v>4300</v>
      </c>
      <c r="G236" s="33"/>
    </row>
    <row r="237" spans="1:7" x14ac:dyDescent="0.3">
      <c r="A237" s="27">
        <v>117</v>
      </c>
      <c r="B237" s="29"/>
      <c r="C237" s="29" t="s">
        <v>121</v>
      </c>
      <c r="D237" s="31" t="s">
        <v>190</v>
      </c>
      <c r="E237" s="11" t="s">
        <v>193</v>
      </c>
      <c r="F237" s="25">
        <v>6120</v>
      </c>
      <c r="G237" s="33">
        <v>12870</v>
      </c>
    </row>
    <row r="238" spans="1:7" x14ac:dyDescent="0.3">
      <c r="A238" s="28"/>
      <c r="B238" s="30"/>
      <c r="C238" s="30"/>
      <c r="D238" s="32"/>
      <c r="E238" s="11" t="s">
        <v>194</v>
      </c>
      <c r="F238" s="25">
        <v>5100</v>
      </c>
      <c r="G238" s="33"/>
    </row>
    <row r="239" spans="1:7" x14ac:dyDescent="0.3">
      <c r="A239" s="27">
        <v>118</v>
      </c>
      <c r="B239" s="29"/>
      <c r="C239" s="29" t="s">
        <v>122</v>
      </c>
      <c r="D239" s="31" t="s">
        <v>190</v>
      </c>
      <c r="E239" s="11" t="s">
        <v>193</v>
      </c>
      <c r="F239" s="25">
        <v>5640</v>
      </c>
      <c r="G239" s="33">
        <v>10500</v>
      </c>
    </row>
    <row r="240" spans="1:7" x14ac:dyDescent="0.3">
      <c r="A240" s="28"/>
      <c r="B240" s="30"/>
      <c r="C240" s="30"/>
      <c r="D240" s="32"/>
      <c r="E240" s="11" t="s">
        <v>194</v>
      </c>
      <c r="F240" s="25">
        <v>4700</v>
      </c>
      <c r="G240" s="33"/>
    </row>
    <row r="241" spans="1:7" x14ac:dyDescent="0.3">
      <c r="A241" s="27">
        <v>119</v>
      </c>
      <c r="B241" s="29"/>
      <c r="C241" s="29" t="s">
        <v>123</v>
      </c>
      <c r="D241" s="31" t="s">
        <v>190</v>
      </c>
      <c r="E241" s="11" t="s">
        <v>193</v>
      </c>
      <c r="F241" s="25">
        <v>1680</v>
      </c>
      <c r="G241" s="20"/>
    </row>
    <row r="242" spans="1:7" x14ac:dyDescent="0.3">
      <c r="A242" s="28"/>
      <c r="B242" s="30"/>
      <c r="C242" s="30"/>
      <c r="D242" s="32"/>
      <c r="E242" s="11" t="s">
        <v>194</v>
      </c>
      <c r="F242" s="25">
        <v>1400</v>
      </c>
      <c r="G242" s="20"/>
    </row>
    <row r="243" spans="1:7" x14ac:dyDescent="0.3">
      <c r="A243" s="27">
        <v>120</v>
      </c>
      <c r="B243" s="29"/>
      <c r="C243" s="29" t="s">
        <v>124</v>
      </c>
      <c r="D243" s="31" t="s">
        <v>190</v>
      </c>
      <c r="E243" s="11" t="s">
        <v>193</v>
      </c>
      <c r="F243" s="25">
        <v>1680</v>
      </c>
      <c r="G243" s="20"/>
    </row>
    <row r="244" spans="1:7" x14ac:dyDescent="0.3">
      <c r="A244" s="28"/>
      <c r="B244" s="30"/>
      <c r="C244" s="30"/>
      <c r="D244" s="32"/>
      <c r="E244" s="11" t="s">
        <v>194</v>
      </c>
      <c r="F244" s="25">
        <v>1400</v>
      </c>
      <c r="G244" s="20"/>
    </row>
    <row r="245" spans="1:7" x14ac:dyDescent="0.3">
      <c r="A245" s="27">
        <v>121</v>
      </c>
      <c r="B245" s="29"/>
      <c r="C245" s="29" t="s">
        <v>125</v>
      </c>
      <c r="D245" s="31" t="s">
        <v>190</v>
      </c>
      <c r="E245" s="11" t="s">
        <v>193</v>
      </c>
      <c r="F245" s="25">
        <v>1680</v>
      </c>
      <c r="G245" s="20"/>
    </row>
    <row r="246" spans="1:7" x14ac:dyDescent="0.3">
      <c r="A246" s="28"/>
      <c r="B246" s="30"/>
      <c r="C246" s="30"/>
      <c r="D246" s="32"/>
      <c r="E246" s="11" t="s">
        <v>194</v>
      </c>
      <c r="F246" s="25">
        <v>1400</v>
      </c>
      <c r="G246" s="20"/>
    </row>
    <row r="247" spans="1:7" x14ac:dyDescent="0.3">
      <c r="A247" s="27">
        <v>122</v>
      </c>
      <c r="B247" s="29"/>
      <c r="C247" s="29" t="s">
        <v>126</v>
      </c>
      <c r="D247" s="31" t="s">
        <v>190</v>
      </c>
      <c r="E247" s="11" t="s">
        <v>193</v>
      </c>
      <c r="F247" s="25">
        <v>2400</v>
      </c>
      <c r="G247" s="20"/>
    </row>
    <row r="248" spans="1:7" x14ac:dyDescent="0.3">
      <c r="A248" s="28"/>
      <c r="B248" s="30"/>
      <c r="C248" s="30"/>
      <c r="D248" s="32"/>
      <c r="E248" s="11" t="s">
        <v>194</v>
      </c>
      <c r="F248" s="25">
        <v>2000</v>
      </c>
      <c r="G248" s="20"/>
    </row>
    <row r="249" spans="1:7" x14ac:dyDescent="0.3">
      <c r="A249" s="27">
        <v>123</v>
      </c>
      <c r="B249" s="29"/>
      <c r="C249" s="29" t="s">
        <v>127</v>
      </c>
      <c r="D249" s="31" t="s">
        <v>190</v>
      </c>
      <c r="E249" s="11" t="s">
        <v>193</v>
      </c>
      <c r="F249" s="25">
        <v>2400</v>
      </c>
      <c r="G249" s="20"/>
    </row>
    <row r="250" spans="1:7" x14ac:dyDescent="0.3">
      <c r="A250" s="28"/>
      <c r="B250" s="30"/>
      <c r="C250" s="30"/>
      <c r="D250" s="32"/>
      <c r="E250" s="11" t="s">
        <v>194</v>
      </c>
      <c r="F250" s="25">
        <v>2000</v>
      </c>
      <c r="G250" s="20"/>
    </row>
    <row r="251" spans="1:7" x14ac:dyDescent="0.3">
      <c r="A251" s="27">
        <v>124</v>
      </c>
      <c r="B251" s="29"/>
      <c r="C251" s="29" t="s">
        <v>128</v>
      </c>
      <c r="D251" s="31" t="s">
        <v>190</v>
      </c>
      <c r="E251" s="11" t="s">
        <v>193</v>
      </c>
      <c r="F251" s="25">
        <v>4800</v>
      </c>
      <c r="G251" s="20"/>
    </row>
    <row r="252" spans="1:7" x14ac:dyDescent="0.3">
      <c r="A252" s="28"/>
      <c r="B252" s="30"/>
      <c r="C252" s="30"/>
      <c r="D252" s="32"/>
      <c r="E252" s="11" t="s">
        <v>194</v>
      </c>
      <c r="F252" s="25">
        <v>4000</v>
      </c>
      <c r="G252" s="20"/>
    </row>
    <row r="253" spans="1:7" x14ac:dyDescent="0.3">
      <c r="A253" s="27">
        <v>125</v>
      </c>
      <c r="B253" s="29"/>
      <c r="C253" s="29" t="s">
        <v>129</v>
      </c>
      <c r="D253" s="31" t="s">
        <v>190</v>
      </c>
      <c r="E253" s="11" t="s">
        <v>193</v>
      </c>
      <c r="F253" s="25">
        <v>3960</v>
      </c>
      <c r="G253" s="20"/>
    </row>
    <row r="254" spans="1:7" x14ac:dyDescent="0.3">
      <c r="A254" s="28"/>
      <c r="B254" s="30"/>
      <c r="C254" s="30"/>
      <c r="D254" s="32"/>
      <c r="E254" s="11" t="s">
        <v>194</v>
      </c>
      <c r="F254" s="25">
        <v>3300</v>
      </c>
      <c r="G254" s="20"/>
    </row>
    <row r="255" spans="1:7" x14ac:dyDescent="0.3">
      <c r="A255" s="27">
        <v>126</v>
      </c>
      <c r="B255" s="29"/>
      <c r="C255" s="29" t="s">
        <v>130</v>
      </c>
      <c r="D255" s="31" t="s">
        <v>190</v>
      </c>
      <c r="E255" s="11" t="s">
        <v>193</v>
      </c>
      <c r="F255" s="25">
        <v>3960</v>
      </c>
      <c r="G255" s="20"/>
    </row>
    <row r="256" spans="1:7" x14ac:dyDescent="0.3">
      <c r="A256" s="28"/>
      <c r="B256" s="30"/>
      <c r="C256" s="30"/>
      <c r="D256" s="32"/>
      <c r="E256" s="11" t="s">
        <v>194</v>
      </c>
      <c r="F256" s="25">
        <v>3300</v>
      </c>
      <c r="G256" s="20"/>
    </row>
  </sheetData>
  <mergeCells count="622">
    <mergeCell ref="A2:A3"/>
    <mergeCell ref="C2:C3"/>
    <mergeCell ref="D2:D3"/>
    <mergeCell ref="G2:G3"/>
    <mergeCell ref="A4:A5"/>
    <mergeCell ref="C4:C5"/>
    <mergeCell ref="D4:D5"/>
    <mergeCell ref="G4:G5"/>
    <mergeCell ref="B2:B3"/>
    <mergeCell ref="B4:B5"/>
    <mergeCell ref="A6:A8"/>
    <mergeCell ref="C6:C8"/>
    <mergeCell ref="D6:D8"/>
    <mergeCell ref="G6:G8"/>
    <mergeCell ref="A9:A11"/>
    <mergeCell ref="C9:C11"/>
    <mergeCell ref="D9:D11"/>
    <mergeCell ref="G9:G11"/>
    <mergeCell ref="B6:B8"/>
    <mergeCell ref="B9:B11"/>
    <mergeCell ref="A12:A14"/>
    <mergeCell ref="C12:C14"/>
    <mergeCell ref="D12:D14"/>
    <mergeCell ref="G12:G14"/>
    <mergeCell ref="A15:A16"/>
    <mergeCell ref="C15:C16"/>
    <mergeCell ref="D15:D16"/>
    <mergeCell ref="G15:G16"/>
    <mergeCell ref="B12:B14"/>
    <mergeCell ref="B15:B16"/>
    <mergeCell ref="A17:A18"/>
    <mergeCell ref="C17:C18"/>
    <mergeCell ref="D17:D18"/>
    <mergeCell ref="G17:G18"/>
    <mergeCell ref="A19:A20"/>
    <mergeCell ref="C19:C20"/>
    <mergeCell ref="D19:D20"/>
    <mergeCell ref="G19:G20"/>
    <mergeCell ref="B17:B18"/>
    <mergeCell ref="B19:B20"/>
    <mergeCell ref="A21:A22"/>
    <mergeCell ref="C21:C22"/>
    <mergeCell ref="D21:D22"/>
    <mergeCell ref="G21:G22"/>
    <mergeCell ref="A23:A24"/>
    <mergeCell ref="C23:C24"/>
    <mergeCell ref="D23:D24"/>
    <mergeCell ref="G23:G24"/>
    <mergeCell ref="B21:B22"/>
    <mergeCell ref="B23:B24"/>
    <mergeCell ref="A25:A26"/>
    <mergeCell ref="C25:C26"/>
    <mergeCell ref="D25:D26"/>
    <mergeCell ref="G25:G26"/>
    <mergeCell ref="A27:A28"/>
    <mergeCell ref="C27:C28"/>
    <mergeCell ref="D27:D28"/>
    <mergeCell ref="G27:G28"/>
    <mergeCell ref="B25:B26"/>
    <mergeCell ref="B27:B28"/>
    <mergeCell ref="A29:A30"/>
    <mergeCell ref="C29:C30"/>
    <mergeCell ref="D29:D30"/>
    <mergeCell ref="G29:G30"/>
    <mergeCell ref="A31:A32"/>
    <mergeCell ref="C31:C32"/>
    <mergeCell ref="D31:D32"/>
    <mergeCell ref="G31:G32"/>
    <mergeCell ref="B29:B30"/>
    <mergeCell ref="B31:B32"/>
    <mergeCell ref="A33:A34"/>
    <mergeCell ref="C33:C34"/>
    <mergeCell ref="D33:D34"/>
    <mergeCell ref="G33:G34"/>
    <mergeCell ref="A35:A36"/>
    <mergeCell ref="C35:C36"/>
    <mergeCell ref="D35:D36"/>
    <mergeCell ref="G35:G36"/>
    <mergeCell ref="B33:B34"/>
    <mergeCell ref="B35:B36"/>
    <mergeCell ref="A37:A38"/>
    <mergeCell ref="C37:C38"/>
    <mergeCell ref="D37:D38"/>
    <mergeCell ref="G37:G38"/>
    <mergeCell ref="A39:A40"/>
    <mergeCell ref="C39:C40"/>
    <mergeCell ref="D39:D40"/>
    <mergeCell ref="G39:G40"/>
    <mergeCell ref="B37:B38"/>
    <mergeCell ref="B39:B40"/>
    <mergeCell ref="A41:A42"/>
    <mergeCell ref="C41:C42"/>
    <mergeCell ref="D41:D42"/>
    <mergeCell ref="G41:G42"/>
    <mergeCell ref="A43:A44"/>
    <mergeCell ref="C43:C44"/>
    <mergeCell ref="D43:D44"/>
    <mergeCell ref="G43:G44"/>
    <mergeCell ref="B41:B42"/>
    <mergeCell ref="B43:B44"/>
    <mergeCell ref="A45:A46"/>
    <mergeCell ref="C45:C46"/>
    <mergeCell ref="D45:D46"/>
    <mergeCell ref="G45:G46"/>
    <mergeCell ref="A47:A48"/>
    <mergeCell ref="C47:C48"/>
    <mergeCell ref="D47:D48"/>
    <mergeCell ref="G47:G48"/>
    <mergeCell ref="B45:B46"/>
    <mergeCell ref="B47:B48"/>
    <mergeCell ref="A49:A50"/>
    <mergeCell ref="C49:C50"/>
    <mergeCell ref="D49:D50"/>
    <mergeCell ref="G49:G50"/>
    <mergeCell ref="A51:A52"/>
    <mergeCell ref="C51:C52"/>
    <mergeCell ref="D51:D52"/>
    <mergeCell ref="G51:G52"/>
    <mergeCell ref="B49:B50"/>
    <mergeCell ref="B51:B52"/>
    <mergeCell ref="A53:A54"/>
    <mergeCell ref="C53:C54"/>
    <mergeCell ref="D53:D54"/>
    <mergeCell ref="G53:G54"/>
    <mergeCell ref="A55:A56"/>
    <mergeCell ref="C55:C56"/>
    <mergeCell ref="D55:D56"/>
    <mergeCell ref="G55:G56"/>
    <mergeCell ref="B53:B54"/>
    <mergeCell ref="B55:B56"/>
    <mergeCell ref="A57:A58"/>
    <mergeCell ref="C57:C58"/>
    <mergeCell ref="D57:D58"/>
    <mergeCell ref="G57:G58"/>
    <mergeCell ref="A59:A60"/>
    <mergeCell ref="C59:C60"/>
    <mergeCell ref="D59:D60"/>
    <mergeCell ref="G59:G60"/>
    <mergeCell ref="B57:B58"/>
    <mergeCell ref="B59:B60"/>
    <mergeCell ref="A61:A62"/>
    <mergeCell ref="C61:C62"/>
    <mergeCell ref="D61:D62"/>
    <mergeCell ref="G61:G62"/>
    <mergeCell ref="A63:A64"/>
    <mergeCell ref="C63:C64"/>
    <mergeCell ref="D63:D64"/>
    <mergeCell ref="G63:G64"/>
    <mergeCell ref="B61:B62"/>
    <mergeCell ref="B63:B64"/>
    <mergeCell ref="A65:A66"/>
    <mergeCell ref="C65:C66"/>
    <mergeCell ref="D65:D66"/>
    <mergeCell ref="G65:G66"/>
    <mergeCell ref="A67:A68"/>
    <mergeCell ref="C67:C68"/>
    <mergeCell ref="D67:D68"/>
    <mergeCell ref="G67:G68"/>
    <mergeCell ref="B65:B66"/>
    <mergeCell ref="B67:B68"/>
    <mergeCell ref="A69:A70"/>
    <mergeCell ref="C69:C70"/>
    <mergeCell ref="D69:D70"/>
    <mergeCell ref="G69:G70"/>
    <mergeCell ref="A71:A72"/>
    <mergeCell ref="C71:C72"/>
    <mergeCell ref="D71:D72"/>
    <mergeCell ref="G71:G72"/>
    <mergeCell ref="B69:B70"/>
    <mergeCell ref="B71:B72"/>
    <mergeCell ref="A73:A74"/>
    <mergeCell ref="C73:C74"/>
    <mergeCell ref="D73:D74"/>
    <mergeCell ref="G73:G74"/>
    <mergeCell ref="A75:A76"/>
    <mergeCell ref="C75:C76"/>
    <mergeCell ref="D75:D76"/>
    <mergeCell ref="G75:G76"/>
    <mergeCell ref="B73:B74"/>
    <mergeCell ref="B75:B76"/>
    <mergeCell ref="A77:A78"/>
    <mergeCell ref="C77:C78"/>
    <mergeCell ref="D77:D78"/>
    <mergeCell ref="G77:G78"/>
    <mergeCell ref="A79:A80"/>
    <mergeCell ref="C79:C80"/>
    <mergeCell ref="D79:D80"/>
    <mergeCell ref="G79:G80"/>
    <mergeCell ref="B77:B78"/>
    <mergeCell ref="B79:B80"/>
    <mergeCell ref="A81:A82"/>
    <mergeCell ref="C81:C82"/>
    <mergeCell ref="D81:D82"/>
    <mergeCell ref="G81:G82"/>
    <mergeCell ref="A83:A84"/>
    <mergeCell ref="C83:C84"/>
    <mergeCell ref="D83:D84"/>
    <mergeCell ref="G83:G84"/>
    <mergeCell ref="B81:B82"/>
    <mergeCell ref="B83:B84"/>
    <mergeCell ref="A85:A86"/>
    <mergeCell ref="C85:C86"/>
    <mergeCell ref="D85:D86"/>
    <mergeCell ref="G85:G86"/>
    <mergeCell ref="A87:A88"/>
    <mergeCell ref="C87:C88"/>
    <mergeCell ref="D87:D88"/>
    <mergeCell ref="G87:G88"/>
    <mergeCell ref="B85:B86"/>
    <mergeCell ref="B87:B88"/>
    <mergeCell ref="A89:A90"/>
    <mergeCell ref="C89:C90"/>
    <mergeCell ref="D89:D90"/>
    <mergeCell ref="G89:G90"/>
    <mergeCell ref="A91:A92"/>
    <mergeCell ref="C91:C92"/>
    <mergeCell ref="D91:D92"/>
    <mergeCell ref="G91:G92"/>
    <mergeCell ref="B89:B90"/>
    <mergeCell ref="B91:B92"/>
    <mergeCell ref="A93:A94"/>
    <mergeCell ref="C93:C94"/>
    <mergeCell ref="D93:D94"/>
    <mergeCell ref="G93:G94"/>
    <mergeCell ref="A95:A96"/>
    <mergeCell ref="C95:C96"/>
    <mergeCell ref="D95:D96"/>
    <mergeCell ref="G95:G96"/>
    <mergeCell ref="B93:B94"/>
    <mergeCell ref="B95:B96"/>
    <mergeCell ref="A97:A98"/>
    <mergeCell ref="C97:C98"/>
    <mergeCell ref="D97:D98"/>
    <mergeCell ref="G97:G98"/>
    <mergeCell ref="A99:A100"/>
    <mergeCell ref="C99:C100"/>
    <mergeCell ref="D99:D100"/>
    <mergeCell ref="G99:G100"/>
    <mergeCell ref="B97:B98"/>
    <mergeCell ref="B99:B100"/>
    <mergeCell ref="A101:A102"/>
    <mergeCell ref="C101:C102"/>
    <mergeCell ref="D101:D102"/>
    <mergeCell ref="G101:G102"/>
    <mergeCell ref="A103:A104"/>
    <mergeCell ref="C103:C104"/>
    <mergeCell ref="D103:D104"/>
    <mergeCell ref="G103:G104"/>
    <mergeCell ref="B101:B102"/>
    <mergeCell ref="B103:B104"/>
    <mergeCell ref="A105:A106"/>
    <mergeCell ref="C105:C106"/>
    <mergeCell ref="D105:D106"/>
    <mergeCell ref="G105:G106"/>
    <mergeCell ref="A107:A108"/>
    <mergeCell ref="C107:C108"/>
    <mergeCell ref="D107:D108"/>
    <mergeCell ref="G107:G108"/>
    <mergeCell ref="B105:B106"/>
    <mergeCell ref="B107:B108"/>
    <mergeCell ref="A109:A110"/>
    <mergeCell ref="C109:C110"/>
    <mergeCell ref="D109:D110"/>
    <mergeCell ref="G109:G110"/>
    <mergeCell ref="A111:A112"/>
    <mergeCell ref="C111:C112"/>
    <mergeCell ref="D111:D112"/>
    <mergeCell ref="G111:G112"/>
    <mergeCell ref="B109:B110"/>
    <mergeCell ref="B111:B112"/>
    <mergeCell ref="A113:A114"/>
    <mergeCell ref="C113:C114"/>
    <mergeCell ref="D113:D114"/>
    <mergeCell ref="G113:G114"/>
    <mergeCell ref="A115:A116"/>
    <mergeCell ref="C115:C116"/>
    <mergeCell ref="D115:D116"/>
    <mergeCell ref="G115:G116"/>
    <mergeCell ref="B113:B114"/>
    <mergeCell ref="B115:B116"/>
    <mergeCell ref="A117:A118"/>
    <mergeCell ref="C117:C118"/>
    <mergeCell ref="D117:D118"/>
    <mergeCell ref="G117:G118"/>
    <mergeCell ref="A119:A120"/>
    <mergeCell ref="C119:C120"/>
    <mergeCell ref="D119:D120"/>
    <mergeCell ref="G119:G120"/>
    <mergeCell ref="B117:B118"/>
    <mergeCell ref="B119:B120"/>
    <mergeCell ref="A121:A122"/>
    <mergeCell ref="C121:C122"/>
    <mergeCell ref="D121:D122"/>
    <mergeCell ref="G121:G122"/>
    <mergeCell ref="A123:A124"/>
    <mergeCell ref="C123:C124"/>
    <mergeCell ref="D123:D124"/>
    <mergeCell ref="G123:G124"/>
    <mergeCell ref="B121:B122"/>
    <mergeCell ref="B123:B124"/>
    <mergeCell ref="A125:A126"/>
    <mergeCell ref="C125:C126"/>
    <mergeCell ref="D125:D126"/>
    <mergeCell ref="G125:G126"/>
    <mergeCell ref="A127:A128"/>
    <mergeCell ref="C127:C128"/>
    <mergeCell ref="D127:D128"/>
    <mergeCell ref="G127:G128"/>
    <mergeCell ref="B125:B126"/>
    <mergeCell ref="B127:B128"/>
    <mergeCell ref="A129:A130"/>
    <mergeCell ref="C129:C130"/>
    <mergeCell ref="D129:D130"/>
    <mergeCell ref="G129:G130"/>
    <mergeCell ref="A131:A132"/>
    <mergeCell ref="C131:C132"/>
    <mergeCell ref="D131:D132"/>
    <mergeCell ref="G131:G132"/>
    <mergeCell ref="B129:B130"/>
    <mergeCell ref="B131:B132"/>
    <mergeCell ref="A133:A134"/>
    <mergeCell ref="C133:C134"/>
    <mergeCell ref="D133:D134"/>
    <mergeCell ref="G133:G134"/>
    <mergeCell ref="A135:A136"/>
    <mergeCell ref="C135:C136"/>
    <mergeCell ref="D135:D136"/>
    <mergeCell ref="G135:G136"/>
    <mergeCell ref="B133:B134"/>
    <mergeCell ref="B135:B136"/>
    <mergeCell ref="A137:A138"/>
    <mergeCell ref="C137:C138"/>
    <mergeCell ref="D137:D138"/>
    <mergeCell ref="G137:G138"/>
    <mergeCell ref="A139:A140"/>
    <mergeCell ref="C139:C140"/>
    <mergeCell ref="D139:D140"/>
    <mergeCell ref="G139:G140"/>
    <mergeCell ref="B137:B138"/>
    <mergeCell ref="B139:B140"/>
    <mergeCell ref="A141:A142"/>
    <mergeCell ref="C141:C142"/>
    <mergeCell ref="D141:D142"/>
    <mergeCell ref="G141:G142"/>
    <mergeCell ref="A143:A144"/>
    <mergeCell ref="C143:C144"/>
    <mergeCell ref="D143:D144"/>
    <mergeCell ref="G143:G144"/>
    <mergeCell ref="B141:B142"/>
    <mergeCell ref="B143:B144"/>
    <mergeCell ref="A145:A146"/>
    <mergeCell ref="C145:C146"/>
    <mergeCell ref="D145:D146"/>
    <mergeCell ref="G145:G146"/>
    <mergeCell ref="A147:A148"/>
    <mergeCell ref="C147:C148"/>
    <mergeCell ref="D147:D148"/>
    <mergeCell ref="G147:G148"/>
    <mergeCell ref="B145:B146"/>
    <mergeCell ref="B147:B148"/>
    <mergeCell ref="A149:A150"/>
    <mergeCell ref="C149:C150"/>
    <mergeCell ref="D149:D150"/>
    <mergeCell ref="G149:G150"/>
    <mergeCell ref="A151:A152"/>
    <mergeCell ref="C151:C152"/>
    <mergeCell ref="D151:D152"/>
    <mergeCell ref="G151:G152"/>
    <mergeCell ref="B149:B150"/>
    <mergeCell ref="B151:B152"/>
    <mergeCell ref="A153:A154"/>
    <mergeCell ref="C153:C154"/>
    <mergeCell ref="D153:D154"/>
    <mergeCell ref="G153:G154"/>
    <mergeCell ref="A155:A156"/>
    <mergeCell ref="C155:C156"/>
    <mergeCell ref="D155:D156"/>
    <mergeCell ref="G155:G156"/>
    <mergeCell ref="B153:B154"/>
    <mergeCell ref="B155:B156"/>
    <mergeCell ref="A157:A158"/>
    <mergeCell ref="C157:C158"/>
    <mergeCell ref="D157:D158"/>
    <mergeCell ref="G157:G158"/>
    <mergeCell ref="A159:A160"/>
    <mergeCell ref="C159:C160"/>
    <mergeCell ref="D159:D160"/>
    <mergeCell ref="G159:G160"/>
    <mergeCell ref="B157:B158"/>
    <mergeCell ref="B159:B160"/>
    <mergeCell ref="A161:A162"/>
    <mergeCell ref="C161:C162"/>
    <mergeCell ref="D161:D162"/>
    <mergeCell ref="G161:G162"/>
    <mergeCell ref="A163:A164"/>
    <mergeCell ref="C163:C164"/>
    <mergeCell ref="D163:D164"/>
    <mergeCell ref="G163:G164"/>
    <mergeCell ref="B161:B162"/>
    <mergeCell ref="B163:B164"/>
    <mergeCell ref="A165:A166"/>
    <mergeCell ref="C165:C166"/>
    <mergeCell ref="D165:D166"/>
    <mergeCell ref="G165:G166"/>
    <mergeCell ref="A167:A168"/>
    <mergeCell ref="C167:C168"/>
    <mergeCell ref="D167:D168"/>
    <mergeCell ref="G167:G168"/>
    <mergeCell ref="B165:B166"/>
    <mergeCell ref="B167:B168"/>
    <mergeCell ref="A169:A170"/>
    <mergeCell ref="C169:C170"/>
    <mergeCell ref="D169:D170"/>
    <mergeCell ref="G169:G170"/>
    <mergeCell ref="A171:A172"/>
    <mergeCell ref="C171:C172"/>
    <mergeCell ref="D171:D172"/>
    <mergeCell ref="G171:G172"/>
    <mergeCell ref="B169:B170"/>
    <mergeCell ref="B171:B172"/>
    <mergeCell ref="A173:A174"/>
    <mergeCell ref="C173:C174"/>
    <mergeCell ref="D173:D174"/>
    <mergeCell ref="G173:G174"/>
    <mergeCell ref="A175:A176"/>
    <mergeCell ref="C175:C176"/>
    <mergeCell ref="D175:D176"/>
    <mergeCell ref="G175:G176"/>
    <mergeCell ref="B173:B174"/>
    <mergeCell ref="B175:B176"/>
    <mergeCell ref="A177:A178"/>
    <mergeCell ref="C177:C178"/>
    <mergeCell ref="D177:D178"/>
    <mergeCell ref="G177:G178"/>
    <mergeCell ref="A179:A180"/>
    <mergeCell ref="C179:C180"/>
    <mergeCell ref="D179:D180"/>
    <mergeCell ref="G179:G180"/>
    <mergeCell ref="B177:B178"/>
    <mergeCell ref="B179:B180"/>
    <mergeCell ref="A181:A182"/>
    <mergeCell ref="C181:C182"/>
    <mergeCell ref="D181:D182"/>
    <mergeCell ref="G181:G182"/>
    <mergeCell ref="A183:A184"/>
    <mergeCell ref="C183:C184"/>
    <mergeCell ref="D183:D184"/>
    <mergeCell ref="G183:G184"/>
    <mergeCell ref="B181:B182"/>
    <mergeCell ref="B183:B184"/>
    <mergeCell ref="A185:A186"/>
    <mergeCell ref="C185:C186"/>
    <mergeCell ref="D185:D186"/>
    <mergeCell ref="G185:G186"/>
    <mergeCell ref="A187:A188"/>
    <mergeCell ref="C187:C188"/>
    <mergeCell ref="D187:D188"/>
    <mergeCell ref="G187:G188"/>
    <mergeCell ref="B185:B186"/>
    <mergeCell ref="B187:B188"/>
    <mergeCell ref="A189:A190"/>
    <mergeCell ref="C189:C190"/>
    <mergeCell ref="D189:D190"/>
    <mergeCell ref="G189:G190"/>
    <mergeCell ref="A191:A192"/>
    <mergeCell ref="C191:C192"/>
    <mergeCell ref="D191:D192"/>
    <mergeCell ref="G191:G192"/>
    <mergeCell ref="B189:B190"/>
    <mergeCell ref="B191:B192"/>
    <mergeCell ref="A193:A194"/>
    <mergeCell ref="C193:C194"/>
    <mergeCell ref="D193:D194"/>
    <mergeCell ref="G193:G194"/>
    <mergeCell ref="A195:A196"/>
    <mergeCell ref="C195:C196"/>
    <mergeCell ref="D195:D196"/>
    <mergeCell ref="G195:G196"/>
    <mergeCell ref="B193:B194"/>
    <mergeCell ref="B195:B196"/>
    <mergeCell ref="A197:A198"/>
    <mergeCell ref="C197:C198"/>
    <mergeCell ref="D197:D198"/>
    <mergeCell ref="G197:G198"/>
    <mergeCell ref="A199:A200"/>
    <mergeCell ref="C199:C200"/>
    <mergeCell ref="D199:D200"/>
    <mergeCell ref="G199:G200"/>
    <mergeCell ref="B197:B198"/>
    <mergeCell ref="B199:B200"/>
    <mergeCell ref="A201:A202"/>
    <mergeCell ref="C201:C202"/>
    <mergeCell ref="D201:D202"/>
    <mergeCell ref="G201:G202"/>
    <mergeCell ref="A203:A204"/>
    <mergeCell ref="C203:C204"/>
    <mergeCell ref="D203:D204"/>
    <mergeCell ref="G203:G204"/>
    <mergeCell ref="B201:B202"/>
    <mergeCell ref="B203:B204"/>
    <mergeCell ref="A205:A206"/>
    <mergeCell ref="C205:C206"/>
    <mergeCell ref="D205:D206"/>
    <mergeCell ref="G205:G206"/>
    <mergeCell ref="A207:A208"/>
    <mergeCell ref="C207:C208"/>
    <mergeCell ref="D207:D208"/>
    <mergeCell ref="G207:G208"/>
    <mergeCell ref="B205:B206"/>
    <mergeCell ref="B207:B208"/>
    <mergeCell ref="A209:A210"/>
    <mergeCell ref="C209:C210"/>
    <mergeCell ref="D209:D210"/>
    <mergeCell ref="G209:G210"/>
    <mergeCell ref="A211:A212"/>
    <mergeCell ref="C211:C212"/>
    <mergeCell ref="D211:D212"/>
    <mergeCell ref="G211:G212"/>
    <mergeCell ref="B209:B210"/>
    <mergeCell ref="B211:B212"/>
    <mergeCell ref="A213:A214"/>
    <mergeCell ref="C213:C214"/>
    <mergeCell ref="D213:D214"/>
    <mergeCell ref="G213:G214"/>
    <mergeCell ref="A215:A216"/>
    <mergeCell ref="C215:C216"/>
    <mergeCell ref="D215:D216"/>
    <mergeCell ref="G215:G216"/>
    <mergeCell ref="B213:B214"/>
    <mergeCell ref="B215:B216"/>
    <mergeCell ref="A217:A218"/>
    <mergeCell ref="C217:C218"/>
    <mergeCell ref="D217:D218"/>
    <mergeCell ref="G217:G218"/>
    <mergeCell ref="A219:A220"/>
    <mergeCell ref="C219:C220"/>
    <mergeCell ref="D219:D220"/>
    <mergeCell ref="G219:G220"/>
    <mergeCell ref="B217:B218"/>
    <mergeCell ref="B219:B220"/>
    <mergeCell ref="A221:A222"/>
    <mergeCell ref="C221:C222"/>
    <mergeCell ref="D221:D222"/>
    <mergeCell ref="G221:G222"/>
    <mergeCell ref="A223:A224"/>
    <mergeCell ref="C223:C224"/>
    <mergeCell ref="D223:D224"/>
    <mergeCell ref="G223:G224"/>
    <mergeCell ref="B221:B222"/>
    <mergeCell ref="B223:B224"/>
    <mergeCell ref="A225:A226"/>
    <mergeCell ref="C225:C226"/>
    <mergeCell ref="D225:D226"/>
    <mergeCell ref="G225:G226"/>
    <mergeCell ref="A227:A228"/>
    <mergeCell ref="C227:C228"/>
    <mergeCell ref="D227:D228"/>
    <mergeCell ref="G227:G228"/>
    <mergeCell ref="B225:B226"/>
    <mergeCell ref="B227:B228"/>
    <mergeCell ref="A229:A230"/>
    <mergeCell ref="C229:C230"/>
    <mergeCell ref="D229:D230"/>
    <mergeCell ref="G229:G230"/>
    <mergeCell ref="A231:A232"/>
    <mergeCell ref="C231:C232"/>
    <mergeCell ref="D231:D232"/>
    <mergeCell ref="G231:G232"/>
    <mergeCell ref="B229:B230"/>
    <mergeCell ref="B231:B232"/>
    <mergeCell ref="A233:A234"/>
    <mergeCell ref="C233:C234"/>
    <mergeCell ref="D233:D234"/>
    <mergeCell ref="G233:G234"/>
    <mergeCell ref="A235:A236"/>
    <mergeCell ref="C235:C236"/>
    <mergeCell ref="D235:D236"/>
    <mergeCell ref="G235:G236"/>
    <mergeCell ref="B233:B234"/>
    <mergeCell ref="B235:B236"/>
    <mergeCell ref="A237:A238"/>
    <mergeCell ref="C237:C238"/>
    <mergeCell ref="D237:D238"/>
    <mergeCell ref="G237:G238"/>
    <mergeCell ref="A239:A240"/>
    <mergeCell ref="C239:C240"/>
    <mergeCell ref="D239:D240"/>
    <mergeCell ref="G239:G240"/>
    <mergeCell ref="B237:B238"/>
    <mergeCell ref="B239:B240"/>
    <mergeCell ref="A245:A246"/>
    <mergeCell ref="C245:C246"/>
    <mergeCell ref="D245:D246"/>
    <mergeCell ref="A247:A248"/>
    <mergeCell ref="C247:C248"/>
    <mergeCell ref="D247:D248"/>
    <mergeCell ref="B245:B246"/>
    <mergeCell ref="B247:B248"/>
    <mergeCell ref="A241:A242"/>
    <mergeCell ref="C241:C242"/>
    <mergeCell ref="D241:D242"/>
    <mergeCell ref="A243:A244"/>
    <mergeCell ref="C243:C244"/>
    <mergeCell ref="D243:D244"/>
    <mergeCell ref="B241:B242"/>
    <mergeCell ref="B243:B244"/>
    <mergeCell ref="A253:A254"/>
    <mergeCell ref="C253:C254"/>
    <mergeCell ref="D253:D254"/>
    <mergeCell ref="A255:A256"/>
    <mergeCell ref="C255:C256"/>
    <mergeCell ref="D255:D256"/>
    <mergeCell ref="B253:B254"/>
    <mergeCell ref="B255:B256"/>
    <mergeCell ref="A249:A250"/>
    <mergeCell ref="C249:C250"/>
    <mergeCell ref="D249:D250"/>
    <mergeCell ref="A251:A252"/>
    <mergeCell ref="C251:C252"/>
    <mergeCell ref="D251:D252"/>
    <mergeCell ref="B249:B250"/>
    <mergeCell ref="B251:B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Price Book Master</vt:lpstr>
      <vt:lpstr>Dealer Price Book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Cyrix</dc:creator>
  <cp:lastModifiedBy>Jeevan Joy Pious</cp:lastModifiedBy>
  <dcterms:created xsi:type="dcterms:W3CDTF">2015-06-05T18:17:20Z</dcterms:created>
  <dcterms:modified xsi:type="dcterms:W3CDTF">2026-03-24T10:32:24Z</dcterms:modified>
</cp:coreProperties>
</file>